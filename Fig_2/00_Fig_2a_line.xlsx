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per2\7_code\main_fig_code\Fig_2\"/>
    </mc:Choice>
  </mc:AlternateContent>
  <xr:revisionPtr revIDLastSave="0" documentId="13_ncr:1_{4861DD6B-79AC-46FB-91CC-982981AA6177}" xr6:coauthVersionLast="47" xr6:coauthVersionMax="47" xr10:uidLastSave="{00000000-0000-0000-0000-000000000000}"/>
  <bookViews>
    <workbookView xWindow="2685" yWindow="2685" windowWidth="21600" windowHeight="11295" activeTab="1" xr2:uid="{282A7854-CA7A-4F46-A9D1-38290FB82479}"/>
  </bookViews>
  <sheets>
    <sheet name="N_38C-S_8C" sheetId="1" r:id="rId1"/>
    <sheet name="N_37C-S_5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1" l="1"/>
  <c r="E33" i="1"/>
  <c r="F33" i="1"/>
  <c r="G33" i="1"/>
  <c r="D33" i="1"/>
  <c r="C34" i="1"/>
  <c r="D34" i="1"/>
  <c r="N34" i="2"/>
  <c r="O34" i="2"/>
  <c r="P34" i="2"/>
  <c r="Q34" i="2"/>
  <c r="M34" i="2"/>
  <c r="D34" i="2"/>
  <c r="E34" i="2"/>
  <c r="F34" i="2"/>
  <c r="G34" i="2"/>
  <c r="C34" i="2"/>
  <c r="O33" i="2"/>
  <c r="P33" i="2"/>
  <c r="Q33" i="2"/>
  <c r="N33" i="2"/>
  <c r="E33" i="2"/>
  <c r="F33" i="2"/>
  <c r="G33" i="2"/>
  <c r="D33" i="2"/>
  <c r="S33" i="2"/>
  <c r="S2" i="2"/>
  <c r="M34" i="1"/>
  <c r="N34" i="1"/>
  <c r="O34" i="1"/>
  <c r="P34" i="1"/>
  <c r="Q34" i="1"/>
  <c r="S33" i="1"/>
  <c r="O33" i="1"/>
  <c r="P33" i="1"/>
  <c r="Q33" i="1"/>
  <c r="N33" i="1"/>
  <c r="S2" i="1"/>
  <c r="G34" i="1" l="1"/>
  <c r="F34" i="1"/>
</calcChain>
</file>

<file path=xl/sharedStrings.xml><?xml version="1.0" encoding="utf-8"?>
<sst xmlns="http://schemas.openxmlformats.org/spreadsheetml/2006/main" count="164" uniqueCount="17">
  <si>
    <t>Year</t>
  </si>
  <si>
    <t>Hemisphere</t>
    <phoneticPr fontId="1" type="noConversion"/>
  </si>
  <si>
    <t>N</t>
  </si>
  <si>
    <t>S</t>
  </si>
  <si>
    <t>IOBW_autumn</t>
    <phoneticPr fontId="1" type="noConversion"/>
  </si>
  <si>
    <t>IOBW_spring</t>
    <phoneticPr fontId="1" type="noConversion"/>
  </si>
  <si>
    <t>T_detrend</t>
    <phoneticPr fontId="1" type="noConversion"/>
  </si>
  <si>
    <t>cor</t>
    <phoneticPr fontId="1" type="noConversion"/>
  </si>
  <si>
    <t>tp_detrend</t>
    <phoneticPr fontId="1" type="noConversion"/>
  </si>
  <si>
    <t>rh_detrend</t>
    <phoneticPr fontId="1" type="noConversion"/>
  </si>
  <si>
    <t>svpd_detrend</t>
    <phoneticPr fontId="1" type="noConversion"/>
  </si>
  <si>
    <t>IR_detrend</t>
    <phoneticPr fontId="1" type="noConversion"/>
  </si>
  <si>
    <t>IR_detrend</t>
  </si>
  <si>
    <t>cor_T_IR</t>
    <phoneticPr fontId="1" type="noConversion"/>
  </si>
  <si>
    <t>cor_IOBW</t>
    <phoneticPr fontId="1" type="noConversion"/>
  </si>
  <si>
    <t>cor_IR</t>
    <phoneticPr fontId="1" type="noConversion"/>
  </si>
  <si>
    <t>sig&lt;0.05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</si>
</sst>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'N_38C-S_8C'!$C$1</c:f>
              <c:strCache>
                <c:ptCount val="1"/>
                <c:pt idx="0">
                  <c:v>IOBW_spring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  <a:effectLst/>
          </c:spPr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28575" cap="rnd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6-4B54-AE1A-71EA8C393F72}"/>
              </c:ext>
            </c:extLst>
          </c:dPt>
          <c:val>
            <c:numRef>
              <c:f>'N_38C-S_8C'!$C$2:$C$31</c:f>
              <c:numCache>
                <c:formatCode>General</c:formatCode>
                <c:ptCount val="30"/>
                <c:pt idx="0">
                  <c:v>0.50027901639768024</c:v>
                </c:pt>
                <c:pt idx="1">
                  <c:v>1.0347121764426221</c:v>
                </c:pt>
                <c:pt idx="2">
                  <c:v>0.17896495834521403</c:v>
                </c:pt>
                <c:pt idx="3">
                  <c:v>-0.29521643619296939</c:v>
                </c:pt>
                <c:pt idx="4">
                  <c:v>-0.67200515548701523</c:v>
                </c:pt>
                <c:pt idx="5">
                  <c:v>-0.36704514807209687</c:v>
                </c:pt>
                <c:pt idx="6">
                  <c:v>-0.3435899964998233</c:v>
                </c:pt>
                <c:pt idx="7">
                  <c:v>-0.58296165346309947</c:v>
                </c:pt>
                <c:pt idx="8">
                  <c:v>2.5076956951814022</c:v>
                </c:pt>
                <c:pt idx="9">
                  <c:v>-0.74284401693281676</c:v>
                </c:pt>
                <c:pt idx="10">
                  <c:v>-1.1850059018016947</c:v>
                </c:pt>
                <c:pt idx="11">
                  <c:v>-3.1528888150179325E-2</c:v>
                </c:pt>
                <c:pt idx="12">
                  <c:v>0.30678477517026548</c:v>
                </c:pt>
                <c:pt idx="13">
                  <c:v>0.74515940620728982</c:v>
                </c:pt>
                <c:pt idx="14">
                  <c:v>-0.48281461179579482</c:v>
                </c:pt>
                <c:pt idx="15">
                  <c:v>0.54925509435960407</c:v>
                </c:pt>
                <c:pt idx="16">
                  <c:v>-0.63068965913952257</c:v>
                </c:pt>
                <c:pt idx="17">
                  <c:v>-0.16963454208674003</c:v>
                </c:pt>
                <c:pt idx="18">
                  <c:v>-2.1300548437751901</c:v>
                </c:pt>
                <c:pt idx="19">
                  <c:v>3.8707455640555902E-2</c:v>
                </c:pt>
                <c:pt idx="20">
                  <c:v>1.6377893121899068</c:v>
                </c:pt>
                <c:pt idx="21">
                  <c:v>-1.2778796946328252</c:v>
                </c:pt>
                <c:pt idx="22">
                  <c:v>-0.54999533033582881</c:v>
                </c:pt>
                <c:pt idx="23">
                  <c:v>-0.22235483690515223</c:v>
                </c:pt>
                <c:pt idx="24">
                  <c:v>4.5249075895575946E-2</c:v>
                </c:pt>
                <c:pt idx="25">
                  <c:v>0.52898467896411772</c:v>
                </c:pt>
                <c:pt idx="26">
                  <c:v>2.3922274902852396</c:v>
                </c:pt>
                <c:pt idx="27">
                  <c:v>-0.74891223045885325</c:v>
                </c:pt>
                <c:pt idx="28">
                  <c:v>-0.68276439932750499</c:v>
                </c:pt>
                <c:pt idx="29">
                  <c:v>0.6494882099776329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13-4429-B120-E5086853E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01968"/>
        <c:axId val="259920272"/>
      </c:areaChart>
      <c:lineChart>
        <c:grouping val="standard"/>
        <c:varyColors val="0"/>
        <c:ser>
          <c:idx val="1"/>
          <c:order val="0"/>
          <c:tx>
            <c:strRef>
              <c:f>'N_38C-S_8C'!$D$1</c:f>
              <c:strCache>
                <c:ptCount val="1"/>
                <c:pt idx="0">
                  <c:v>T_detrend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'N_38C-S_8C'!$A$2:$A$31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'N_38C-S_8C'!$D$2:$D$31</c:f>
              <c:numCache>
                <c:formatCode>General</c:formatCode>
                <c:ptCount val="30"/>
                <c:pt idx="0">
                  <c:v>0.74759682958732288</c:v>
                </c:pt>
                <c:pt idx="1">
                  <c:v>0.63681573580582818</c:v>
                </c:pt>
                <c:pt idx="2">
                  <c:v>-0.28840282116366045</c:v>
                </c:pt>
                <c:pt idx="3">
                  <c:v>0.41576842833168975</c:v>
                </c:pt>
                <c:pt idx="4">
                  <c:v>-0.39294619591134422</c:v>
                </c:pt>
                <c:pt idx="5">
                  <c:v>0.53099060353643346</c:v>
                </c:pt>
                <c:pt idx="6">
                  <c:v>-1.1591579011272093</c:v>
                </c:pt>
                <c:pt idx="7">
                  <c:v>0.62735137923677187</c:v>
                </c:pt>
                <c:pt idx="8">
                  <c:v>2.6915530292746985</c:v>
                </c:pt>
                <c:pt idx="9">
                  <c:v>-1.7103235843949967</c:v>
                </c:pt>
                <c:pt idx="10">
                  <c:v>-1.6478019344957984</c:v>
                </c:pt>
                <c:pt idx="11">
                  <c:v>-0.5208661796933397</c:v>
                </c:pt>
                <c:pt idx="12">
                  <c:v>9.8161102869252087E-2</c:v>
                </c:pt>
                <c:pt idx="13">
                  <c:v>-0.41090890391233292</c:v>
                </c:pt>
                <c:pt idx="14">
                  <c:v>-0.84668187373775927</c:v>
                </c:pt>
                <c:pt idx="15">
                  <c:v>1.1213209960001578</c:v>
                </c:pt>
                <c:pt idx="16">
                  <c:v>-0.14422019680468717</c:v>
                </c:pt>
                <c:pt idx="17">
                  <c:v>-0.27204592763712826</c:v>
                </c:pt>
                <c:pt idx="18">
                  <c:v>-1.6629087742324054</c:v>
                </c:pt>
                <c:pt idx="19">
                  <c:v>0.65671523609106242</c:v>
                </c:pt>
                <c:pt idx="20">
                  <c:v>1.1079577988982692</c:v>
                </c:pt>
                <c:pt idx="21">
                  <c:v>-0.22707479160780999</c:v>
                </c:pt>
                <c:pt idx="22">
                  <c:v>-0.28168060062776284</c:v>
                </c:pt>
                <c:pt idx="23">
                  <c:v>-1.2079273434815956</c:v>
                </c:pt>
                <c:pt idx="24">
                  <c:v>0.14214112858854178</c:v>
                </c:pt>
                <c:pt idx="25">
                  <c:v>0.82512849328645632</c:v>
                </c:pt>
                <c:pt idx="26">
                  <c:v>0.83409256500992757</c:v>
                </c:pt>
                <c:pt idx="27">
                  <c:v>6.5855066680883451E-2</c:v>
                </c:pt>
                <c:pt idx="28">
                  <c:v>-1.0368890819298684</c:v>
                </c:pt>
                <c:pt idx="29">
                  <c:v>1.3083877175604037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6-4148-9D76-BE77451ED205}"/>
            </c:ext>
          </c:extLst>
        </c:ser>
        <c:ser>
          <c:idx val="0"/>
          <c:order val="2"/>
          <c:tx>
            <c:strRef>
              <c:f>'N_38C-S_8C'!$H$1</c:f>
              <c:strCache>
                <c:ptCount val="1"/>
                <c:pt idx="0">
                  <c:v>IR_detrend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'N_38C-S_8C'!$H$2:$H$31</c:f>
              <c:numCache>
                <c:formatCode>General</c:formatCode>
                <c:ptCount val="30"/>
                <c:pt idx="0">
                  <c:v>0.17814188073709389</c:v>
                </c:pt>
                <c:pt idx="1">
                  <c:v>0.13744814521617341</c:v>
                </c:pt>
                <c:pt idx="2">
                  <c:v>-2.4406182808696167E-4</c:v>
                </c:pt>
                <c:pt idx="3">
                  <c:v>-6.8582156966259467E-2</c:v>
                </c:pt>
                <c:pt idx="4">
                  <c:v>7.5260881392957724E-2</c:v>
                </c:pt>
                <c:pt idx="5">
                  <c:v>0.42138838217263014</c:v>
                </c:pt>
                <c:pt idx="6">
                  <c:v>7.6511360352912672E-2</c:v>
                </c:pt>
                <c:pt idx="7">
                  <c:v>2.8071177713092309E-3</c:v>
                </c:pt>
                <c:pt idx="8">
                  <c:v>0.32302178290775463</c:v>
                </c:pt>
                <c:pt idx="9">
                  <c:v>-0.28570354873510129</c:v>
                </c:pt>
                <c:pt idx="10">
                  <c:v>-0.33178079425014989</c:v>
                </c:pt>
                <c:pt idx="11">
                  <c:v>0.16652813882341053</c:v>
                </c:pt>
                <c:pt idx="12">
                  <c:v>0.12519571427377754</c:v>
                </c:pt>
                <c:pt idx="13">
                  <c:v>-0.25606610370917599</c:v>
                </c:pt>
                <c:pt idx="14">
                  <c:v>-0.28303159366557962</c:v>
                </c:pt>
                <c:pt idx="15">
                  <c:v>-0.15838681571996843</c:v>
                </c:pt>
                <c:pt idx="16">
                  <c:v>-0.41438718534635521</c:v>
                </c:pt>
                <c:pt idx="17">
                  <c:v>-0.12619704813326627</c:v>
                </c:pt>
                <c:pt idx="18">
                  <c:v>-0.44877355237780425</c:v>
                </c:pt>
                <c:pt idx="19">
                  <c:v>-0.15404722610056981</c:v>
                </c:pt>
                <c:pt idx="20">
                  <c:v>0.52069800917471665</c:v>
                </c:pt>
                <c:pt idx="21">
                  <c:v>-0.43140766611343662</c:v>
                </c:pt>
                <c:pt idx="22">
                  <c:v>-0.10248802925224011</c:v>
                </c:pt>
                <c:pt idx="23">
                  <c:v>0.52719852571910553</c:v>
                </c:pt>
                <c:pt idx="24">
                  <c:v>2.3953376335144983E-2</c:v>
                </c:pt>
                <c:pt idx="25">
                  <c:v>0.12545325662468121</c:v>
                </c:pt>
                <c:pt idx="26">
                  <c:v>0.21371967179561122</c:v>
                </c:pt>
                <c:pt idx="27">
                  <c:v>-0.6303165279417895</c:v>
                </c:pt>
                <c:pt idx="28">
                  <c:v>-0.6772582223020952</c:v>
                </c:pt>
                <c:pt idx="29">
                  <c:v>1.4513442891445998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A3-43BA-ABE9-CC7DAA8B8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in val="-3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valAx>
        <c:axId val="25992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59901968"/>
        <c:crosses val="max"/>
        <c:crossBetween val="between"/>
      </c:valAx>
      <c:catAx>
        <c:axId val="25990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992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'N_38C-S_8C'!$M$1</c:f>
              <c:strCache>
                <c:ptCount val="1"/>
                <c:pt idx="0">
                  <c:v>IOBW_autumn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'N_38C-S_8C'!$M$2:$M$31</c:f>
              <c:numCache>
                <c:formatCode>General</c:formatCode>
                <c:ptCount val="30"/>
                <c:pt idx="0">
                  <c:v>0.77022172840211323</c:v>
                </c:pt>
                <c:pt idx="1">
                  <c:v>0.67841249741342902</c:v>
                </c:pt>
                <c:pt idx="2">
                  <c:v>0.67063151361306861</c:v>
                </c:pt>
                <c:pt idx="3">
                  <c:v>-1.1042140801770295</c:v>
                </c:pt>
                <c:pt idx="4">
                  <c:v>-0.7140965993503311</c:v>
                </c:pt>
                <c:pt idx="5">
                  <c:v>-0.640320754997319</c:v>
                </c:pt>
                <c:pt idx="6">
                  <c:v>-0.24526043610071899</c:v>
                </c:pt>
                <c:pt idx="7">
                  <c:v>-1.5060508706210751</c:v>
                </c:pt>
                <c:pt idx="8">
                  <c:v>1.5556705869873109</c:v>
                </c:pt>
                <c:pt idx="9">
                  <c:v>0.34430853316596877</c:v>
                </c:pt>
                <c:pt idx="10">
                  <c:v>-0.58778316970594835</c:v>
                </c:pt>
                <c:pt idx="11">
                  <c:v>0.59071698327001843</c:v>
                </c:pt>
                <c:pt idx="12">
                  <c:v>0.19739463001735064</c:v>
                </c:pt>
                <c:pt idx="13">
                  <c:v>1.1855955173021147</c:v>
                </c:pt>
                <c:pt idx="14">
                  <c:v>-5.5423564938635768E-2</c:v>
                </c:pt>
                <c:pt idx="15">
                  <c:v>-0.57478828897378764</c:v>
                </c:pt>
                <c:pt idx="16">
                  <c:v>-1.1238100414283485</c:v>
                </c:pt>
                <c:pt idx="17">
                  <c:v>-0.12078063993387803</c:v>
                </c:pt>
                <c:pt idx="18">
                  <c:v>-0.78348766799617175</c:v>
                </c:pt>
                <c:pt idx="19">
                  <c:v>6.9996964925380812E-3</c:v>
                </c:pt>
                <c:pt idx="20">
                  <c:v>0.63190198563955069</c:v>
                </c:pt>
                <c:pt idx="21">
                  <c:v>-0.4237606689798975</c:v>
                </c:pt>
                <c:pt idx="22">
                  <c:v>9.7342020699186418E-2</c:v>
                </c:pt>
                <c:pt idx="23">
                  <c:v>0.41331693047736501</c:v>
                </c:pt>
                <c:pt idx="24">
                  <c:v>-7.3919346103428263E-2</c:v>
                </c:pt>
                <c:pt idx="25">
                  <c:v>0.39775496287664425</c:v>
                </c:pt>
                <c:pt idx="26">
                  <c:v>3.313662697422938</c:v>
                </c:pt>
                <c:pt idx="27">
                  <c:v>-1.6023564897894758</c:v>
                </c:pt>
                <c:pt idx="28">
                  <c:v>-1.1129357976746069E-2</c:v>
                </c:pt>
                <c:pt idx="29">
                  <c:v>-1.2867483067068055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AD-4D2A-83F6-6EFC214B9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01968"/>
        <c:axId val="259920272"/>
      </c:areaChart>
      <c:lineChart>
        <c:grouping val="standard"/>
        <c:varyColors val="0"/>
        <c:ser>
          <c:idx val="1"/>
          <c:order val="0"/>
          <c:tx>
            <c:strRef>
              <c:f>'N_38C-S_8C'!$N$1</c:f>
              <c:strCache>
                <c:ptCount val="1"/>
                <c:pt idx="0">
                  <c:v>T_detrend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'N_38C-S_8C'!$A$2:$A$31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'N_38C-S_8C'!$N$2:$N$31</c:f>
              <c:numCache>
                <c:formatCode>General</c:formatCode>
                <c:ptCount val="30"/>
                <c:pt idx="0">
                  <c:v>1.9104716590408284</c:v>
                </c:pt>
                <c:pt idx="1">
                  <c:v>-0.19525407090899977</c:v>
                </c:pt>
                <c:pt idx="2">
                  <c:v>0.45586838592609352</c:v>
                </c:pt>
                <c:pt idx="3">
                  <c:v>-4.8416315249571802E-2</c:v>
                </c:pt>
                <c:pt idx="4">
                  <c:v>-0.30858033982484956</c:v>
                </c:pt>
                <c:pt idx="5">
                  <c:v>0.97013725172463228</c:v>
                </c:pt>
                <c:pt idx="6">
                  <c:v>-0.15749217866683787</c:v>
                </c:pt>
                <c:pt idx="7">
                  <c:v>7.6669924282674176E-2</c:v>
                </c:pt>
                <c:pt idx="8">
                  <c:v>1.2820212350699898</c:v>
                </c:pt>
                <c:pt idx="9">
                  <c:v>-1.8203398339032102</c:v>
                </c:pt>
                <c:pt idx="10">
                  <c:v>-0.28725015887038158</c:v>
                </c:pt>
                <c:pt idx="11">
                  <c:v>-0.212868844100636</c:v>
                </c:pt>
                <c:pt idx="12">
                  <c:v>-1.5516429278946617</c:v>
                </c:pt>
                <c:pt idx="13">
                  <c:v>1.4042988310409708E-2</c:v>
                </c:pt>
                <c:pt idx="14">
                  <c:v>-1.6626857344030594</c:v>
                </c:pt>
                <c:pt idx="15">
                  <c:v>8.4972044074391476E-2</c:v>
                </c:pt>
                <c:pt idx="16">
                  <c:v>-0.60318005625979443</c:v>
                </c:pt>
                <c:pt idx="17">
                  <c:v>0.88580256883516462</c:v>
                </c:pt>
                <c:pt idx="18">
                  <c:v>-1.1553576803143089</c:v>
                </c:pt>
                <c:pt idx="19">
                  <c:v>-0.68331081493553247</c:v>
                </c:pt>
                <c:pt idx="20">
                  <c:v>0.71274776872616086</c:v>
                </c:pt>
                <c:pt idx="21">
                  <c:v>-0.89882579623305825</c:v>
                </c:pt>
                <c:pt idx="22">
                  <c:v>-0.20506116553761425</c:v>
                </c:pt>
                <c:pt idx="23">
                  <c:v>0.1500433267751832</c:v>
                </c:pt>
                <c:pt idx="24">
                  <c:v>0.96946958155605589</c:v>
                </c:pt>
                <c:pt idx="25">
                  <c:v>-0.49044495403717836</c:v>
                </c:pt>
                <c:pt idx="26">
                  <c:v>2.4548373633280178</c:v>
                </c:pt>
                <c:pt idx="27">
                  <c:v>1.2892421166516355</c:v>
                </c:pt>
                <c:pt idx="28">
                  <c:v>-0.7054950340186843</c:v>
                </c:pt>
                <c:pt idx="29">
                  <c:v>-0.27012030914285834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AD-4D2A-83F6-6EFC214B9E18}"/>
            </c:ext>
          </c:extLst>
        </c:ser>
        <c:ser>
          <c:idx val="0"/>
          <c:order val="2"/>
          <c:tx>
            <c:strRef>
              <c:f>'N_38C-S_8C'!$R$1</c:f>
              <c:strCache>
                <c:ptCount val="1"/>
                <c:pt idx="0">
                  <c:v>IR_detrend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'N_38C-S_8C'!$R$2:$R$31</c:f>
              <c:numCache>
                <c:formatCode>General</c:formatCode>
                <c:ptCount val="30"/>
                <c:pt idx="0">
                  <c:v>0.28554487087500008</c:v>
                </c:pt>
                <c:pt idx="1">
                  <c:v>0.47055557424999994</c:v>
                </c:pt>
                <c:pt idx="2">
                  <c:v>-0.13319678037499999</c:v>
                </c:pt>
                <c:pt idx="3">
                  <c:v>2.6888214625000004E-2</c:v>
                </c:pt>
                <c:pt idx="4">
                  <c:v>0.23745992587500003</c:v>
                </c:pt>
                <c:pt idx="5">
                  <c:v>-9.2000640125000019E-2</c:v>
                </c:pt>
                <c:pt idx="6">
                  <c:v>-0.10410929825000004</c:v>
                </c:pt>
                <c:pt idx="7">
                  <c:v>-0.210486550125</c:v>
                </c:pt>
                <c:pt idx="8">
                  <c:v>-0.13443830237499999</c:v>
                </c:pt>
                <c:pt idx="9">
                  <c:v>-0.34588194425000002</c:v>
                </c:pt>
                <c:pt idx="10">
                  <c:v>0.20752557962499998</c:v>
                </c:pt>
                <c:pt idx="11">
                  <c:v>6.182419850000001E-2</c:v>
                </c:pt>
                <c:pt idx="12">
                  <c:v>0.56633480912499989</c:v>
                </c:pt>
                <c:pt idx="13">
                  <c:v>-0.30022499012499998</c:v>
                </c:pt>
                <c:pt idx="14">
                  <c:v>-0.39447716362500002</c:v>
                </c:pt>
                <c:pt idx="15">
                  <c:v>-0.38944874624999998</c:v>
                </c:pt>
                <c:pt idx="16">
                  <c:v>-0.49225330024999997</c:v>
                </c:pt>
                <c:pt idx="17">
                  <c:v>-0.19363005287500001</c:v>
                </c:pt>
                <c:pt idx="18">
                  <c:v>-0.45170180849999997</c:v>
                </c:pt>
                <c:pt idx="19">
                  <c:v>7.1336655874999988E-2</c:v>
                </c:pt>
                <c:pt idx="20">
                  <c:v>-3.5669564750000007E-2</c:v>
                </c:pt>
                <c:pt idx="21">
                  <c:v>-3.5076619750000003E-2</c:v>
                </c:pt>
                <c:pt idx="22">
                  <c:v>0.20278986712499997</c:v>
                </c:pt>
                <c:pt idx="23">
                  <c:v>0.52894237262499988</c:v>
                </c:pt>
                <c:pt idx="24">
                  <c:v>-0.34684307662499991</c:v>
                </c:pt>
                <c:pt idx="25">
                  <c:v>0.81834734575000012</c:v>
                </c:pt>
                <c:pt idx="26">
                  <c:v>1.615902708625</c:v>
                </c:pt>
                <c:pt idx="27">
                  <c:v>-0.24063395612500002</c:v>
                </c:pt>
                <c:pt idx="28">
                  <c:v>-0.95098462375000004</c:v>
                </c:pt>
                <c:pt idx="29">
                  <c:v>-0.24239470387499998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73-462F-8CF6-02D1E55CD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ax val="4"/>
          <c:min val="-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valAx>
        <c:axId val="25992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59901968"/>
        <c:crosses val="max"/>
        <c:crossBetween val="between"/>
      </c:valAx>
      <c:catAx>
        <c:axId val="25990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992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1"/>
          <c:tx>
            <c:strRef>
              <c:f>'N_38C-S_8C'!$C$1</c:f>
              <c:strCache>
                <c:ptCount val="1"/>
                <c:pt idx="0">
                  <c:v>IOBW_spring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  <a:prstDash val="solid"/>
            </a:ln>
            <a:effectLst/>
          </c:spPr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28575" cap="rnd">
                <a:noFill/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90-4C1F-8BE6-28536D5A1620}"/>
              </c:ext>
            </c:extLst>
          </c:dPt>
          <c:val>
            <c:numRef>
              <c:f>'N_38C-S_8C'!$C$2:$C$31</c:f>
              <c:numCache>
                <c:formatCode>General</c:formatCode>
                <c:ptCount val="30"/>
                <c:pt idx="0">
                  <c:v>0.50027901639768024</c:v>
                </c:pt>
                <c:pt idx="1">
                  <c:v>1.0347121764426221</c:v>
                </c:pt>
                <c:pt idx="2">
                  <c:v>0.17896495834521403</c:v>
                </c:pt>
                <c:pt idx="3">
                  <c:v>-0.29521643619296939</c:v>
                </c:pt>
                <c:pt idx="4">
                  <c:v>-0.67200515548701523</c:v>
                </c:pt>
                <c:pt idx="5">
                  <c:v>-0.36704514807209687</c:v>
                </c:pt>
                <c:pt idx="6">
                  <c:v>-0.3435899964998233</c:v>
                </c:pt>
                <c:pt idx="7">
                  <c:v>-0.58296165346309947</c:v>
                </c:pt>
                <c:pt idx="8">
                  <c:v>2.5076956951814022</c:v>
                </c:pt>
                <c:pt idx="9">
                  <c:v>-0.74284401693281676</c:v>
                </c:pt>
                <c:pt idx="10">
                  <c:v>-1.1850059018016947</c:v>
                </c:pt>
                <c:pt idx="11">
                  <c:v>-3.1528888150179325E-2</c:v>
                </c:pt>
                <c:pt idx="12">
                  <c:v>0.30678477517026548</c:v>
                </c:pt>
                <c:pt idx="13">
                  <c:v>0.74515940620728982</c:v>
                </c:pt>
                <c:pt idx="14">
                  <c:v>-0.48281461179579482</c:v>
                </c:pt>
                <c:pt idx="15">
                  <c:v>0.54925509435960407</c:v>
                </c:pt>
                <c:pt idx="16">
                  <c:v>-0.63068965913952257</c:v>
                </c:pt>
                <c:pt idx="17">
                  <c:v>-0.16963454208674003</c:v>
                </c:pt>
                <c:pt idx="18">
                  <c:v>-2.1300548437751901</c:v>
                </c:pt>
                <c:pt idx="19">
                  <c:v>3.8707455640555902E-2</c:v>
                </c:pt>
                <c:pt idx="20">
                  <c:v>1.6377893121899068</c:v>
                </c:pt>
                <c:pt idx="21">
                  <c:v>-1.2778796946328252</c:v>
                </c:pt>
                <c:pt idx="22">
                  <c:v>-0.54999533033582881</c:v>
                </c:pt>
                <c:pt idx="23">
                  <c:v>-0.22235483690515223</c:v>
                </c:pt>
                <c:pt idx="24">
                  <c:v>4.5249075895575946E-2</c:v>
                </c:pt>
                <c:pt idx="25">
                  <c:v>0.52898467896411772</c:v>
                </c:pt>
                <c:pt idx="26">
                  <c:v>2.3922274902852396</c:v>
                </c:pt>
                <c:pt idx="27">
                  <c:v>-0.74891223045885325</c:v>
                </c:pt>
                <c:pt idx="28">
                  <c:v>-0.68276439932750499</c:v>
                </c:pt>
                <c:pt idx="29">
                  <c:v>0.6494882099776329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90-4C1F-8BE6-28536D5A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9901968"/>
        <c:axId val="259920272"/>
      </c:areaChart>
      <c:lineChart>
        <c:grouping val="standard"/>
        <c:varyColors val="0"/>
        <c:ser>
          <c:idx val="1"/>
          <c:order val="0"/>
          <c:tx>
            <c:strRef>
              <c:f>'N_38C-S_8C'!$D$1</c:f>
              <c:strCache>
                <c:ptCount val="1"/>
                <c:pt idx="0">
                  <c:v>T_detrend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'N_38C-S_8C'!$A$2:$A$31</c:f>
              <c:numCache>
                <c:formatCode>General</c:formatCode>
                <c:ptCount val="30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</c:numCache>
            </c:numRef>
          </c:cat>
          <c:val>
            <c:numRef>
              <c:f>'N_38C-S_8C'!$D$2:$D$31</c:f>
              <c:numCache>
                <c:formatCode>General</c:formatCode>
                <c:ptCount val="30"/>
                <c:pt idx="0">
                  <c:v>0.74759682958732288</c:v>
                </c:pt>
                <c:pt idx="1">
                  <c:v>0.63681573580582818</c:v>
                </c:pt>
                <c:pt idx="2">
                  <c:v>-0.28840282116366045</c:v>
                </c:pt>
                <c:pt idx="3">
                  <c:v>0.41576842833168975</c:v>
                </c:pt>
                <c:pt idx="4">
                  <c:v>-0.39294619591134422</c:v>
                </c:pt>
                <c:pt idx="5">
                  <c:v>0.53099060353643346</c:v>
                </c:pt>
                <c:pt idx="6">
                  <c:v>-1.1591579011272093</c:v>
                </c:pt>
                <c:pt idx="7">
                  <c:v>0.62735137923677187</c:v>
                </c:pt>
                <c:pt idx="8">
                  <c:v>2.6915530292746985</c:v>
                </c:pt>
                <c:pt idx="9">
                  <c:v>-1.7103235843949967</c:v>
                </c:pt>
                <c:pt idx="10">
                  <c:v>-1.6478019344957984</c:v>
                </c:pt>
                <c:pt idx="11">
                  <c:v>-0.5208661796933397</c:v>
                </c:pt>
                <c:pt idx="12">
                  <c:v>9.8161102869252087E-2</c:v>
                </c:pt>
                <c:pt idx="13">
                  <c:v>-0.41090890391233292</c:v>
                </c:pt>
                <c:pt idx="14">
                  <c:v>-0.84668187373775927</c:v>
                </c:pt>
                <c:pt idx="15">
                  <c:v>1.1213209960001578</c:v>
                </c:pt>
                <c:pt idx="16">
                  <c:v>-0.14422019680468717</c:v>
                </c:pt>
                <c:pt idx="17">
                  <c:v>-0.27204592763712826</c:v>
                </c:pt>
                <c:pt idx="18">
                  <c:v>-1.6629087742324054</c:v>
                </c:pt>
                <c:pt idx="19">
                  <c:v>0.65671523609106242</c:v>
                </c:pt>
                <c:pt idx="20">
                  <c:v>1.1079577988982692</c:v>
                </c:pt>
                <c:pt idx="21">
                  <c:v>-0.22707479160780999</c:v>
                </c:pt>
                <c:pt idx="22">
                  <c:v>-0.28168060062776284</c:v>
                </c:pt>
                <c:pt idx="23">
                  <c:v>-1.2079273434815956</c:v>
                </c:pt>
                <c:pt idx="24">
                  <c:v>0.14214112858854178</c:v>
                </c:pt>
                <c:pt idx="25">
                  <c:v>0.82512849328645632</c:v>
                </c:pt>
                <c:pt idx="26">
                  <c:v>0.83409256500992757</c:v>
                </c:pt>
                <c:pt idx="27">
                  <c:v>6.5855066680883451E-2</c:v>
                </c:pt>
                <c:pt idx="28">
                  <c:v>-1.0368890819298684</c:v>
                </c:pt>
                <c:pt idx="29">
                  <c:v>1.3083877175604037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90-4C1F-8BE6-28536D5A1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in val="-3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valAx>
        <c:axId val="25992027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259901968"/>
        <c:crosses val="max"/>
        <c:crossBetween val="between"/>
      </c:valAx>
      <c:catAx>
        <c:axId val="259901968"/>
        <c:scaling>
          <c:orientation val="minMax"/>
        </c:scaling>
        <c:delete val="1"/>
        <c:axPos val="b"/>
        <c:majorTickMark val="out"/>
        <c:minorTickMark val="none"/>
        <c:tickLblPos val="nextTo"/>
        <c:crossAx val="259920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2"/>
          <c:order val="0"/>
          <c:tx>
            <c:strRef>
              <c:f>'N_38C-S_8C'!$M$1</c:f>
              <c:strCache>
                <c:ptCount val="1"/>
                <c:pt idx="0">
                  <c:v>IOBW_autumn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25400">
              <a:noFill/>
            </a:ln>
            <a:effectLst/>
          </c:spPr>
          <c:val>
            <c:numRef>
              <c:f>'N_38C-S_8C'!$M$2:$M$31</c:f>
              <c:numCache>
                <c:formatCode>General</c:formatCode>
                <c:ptCount val="30"/>
                <c:pt idx="0">
                  <c:v>0.77022172840211323</c:v>
                </c:pt>
                <c:pt idx="1">
                  <c:v>0.67841249741342902</c:v>
                </c:pt>
                <c:pt idx="2">
                  <c:v>0.67063151361306861</c:v>
                </c:pt>
                <c:pt idx="3">
                  <c:v>-1.1042140801770295</c:v>
                </c:pt>
                <c:pt idx="4">
                  <c:v>-0.7140965993503311</c:v>
                </c:pt>
                <c:pt idx="5">
                  <c:v>-0.640320754997319</c:v>
                </c:pt>
                <c:pt idx="6">
                  <c:v>-0.24526043610071899</c:v>
                </c:pt>
                <c:pt idx="7">
                  <c:v>-1.5060508706210751</c:v>
                </c:pt>
                <c:pt idx="8">
                  <c:v>1.5556705869873109</c:v>
                </c:pt>
                <c:pt idx="9">
                  <c:v>0.34430853316596877</c:v>
                </c:pt>
                <c:pt idx="10">
                  <c:v>-0.58778316970594835</c:v>
                </c:pt>
                <c:pt idx="11">
                  <c:v>0.59071698327001843</c:v>
                </c:pt>
                <c:pt idx="12">
                  <c:v>0.19739463001735064</c:v>
                </c:pt>
                <c:pt idx="13">
                  <c:v>1.1855955173021147</c:v>
                </c:pt>
                <c:pt idx="14">
                  <c:v>-5.5423564938635768E-2</c:v>
                </c:pt>
                <c:pt idx="15">
                  <c:v>-0.57478828897378764</c:v>
                </c:pt>
                <c:pt idx="16">
                  <c:v>-1.1238100414283485</c:v>
                </c:pt>
                <c:pt idx="17">
                  <c:v>-0.12078063993387803</c:v>
                </c:pt>
                <c:pt idx="18">
                  <c:v>-0.78348766799617175</c:v>
                </c:pt>
                <c:pt idx="19">
                  <c:v>6.9996964925380812E-3</c:v>
                </c:pt>
                <c:pt idx="20">
                  <c:v>0.63190198563955069</c:v>
                </c:pt>
                <c:pt idx="21">
                  <c:v>-0.4237606689798975</c:v>
                </c:pt>
                <c:pt idx="22">
                  <c:v>9.7342020699186418E-2</c:v>
                </c:pt>
                <c:pt idx="23">
                  <c:v>0.41331693047736501</c:v>
                </c:pt>
                <c:pt idx="24">
                  <c:v>-7.3919346103428263E-2</c:v>
                </c:pt>
                <c:pt idx="25">
                  <c:v>0.39775496287664425</c:v>
                </c:pt>
                <c:pt idx="26">
                  <c:v>3.313662697422938</c:v>
                </c:pt>
                <c:pt idx="27">
                  <c:v>-1.6023564897894758</c:v>
                </c:pt>
                <c:pt idx="28">
                  <c:v>-1.1129357976746069E-2</c:v>
                </c:pt>
                <c:pt idx="29">
                  <c:v>-1.2867483067068055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8-48FD-9041-7F11FCCFC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5970464"/>
        <c:axId val="1845972544"/>
      </c:areaChart>
      <c:lineChart>
        <c:grouping val="standard"/>
        <c:varyColors val="0"/>
        <c:ser>
          <c:idx val="0"/>
          <c:order val="1"/>
          <c:tx>
            <c:strRef>
              <c:f>'N_37C-S_5C'!$N$1</c:f>
              <c:strCache>
                <c:ptCount val="1"/>
                <c:pt idx="0">
                  <c:v>T_detrend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'N_37C-S_5C'!$N$2:$N$31</c:f>
              <c:numCache>
                <c:formatCode>General</c:formatCode>
                <c:ptCount val="30"/>
                <c:pt idx="0">
                  <c:v>0.33194056600613037</c:v>
                </c:pt>
                <c:pt idx="1">
                  <c:v>0.52027265441032722</c:v>
                </c:pt>
                <c:pt idx="2">
                  <c:v>0.65757647424629195</c:v>
                </c:pt>
                <c:pt idx="3">
                  <c:v>-0.32162318875230789</c:v>
                </c:pt>
                <c:pt idx="4">
                  <c:v>0.36424771810755135</c:v>
                </c:pt>
                <c:pt idx="5">
                  <c:v>0.6972525036121533</c:v>
                </c:pt>
                <c:pt idx="6">
                  <c:v>-0.5581393527191294</c:v>
                </c:pt>
                <c:pt idx="7">
                  <c:v>-0.91829605823075233</c:v>
                </c:pt>
                <c:pt idx="8">
                  <c:v>2.9731331095436166</c:v>
                </c:pt>
                <c:pt idx="9">
                  <c:v>-1.2915308825552279</c:v>
                </c:pt>
                <c:pt idx="10">
                  <c:v>-0.82044774222769135</c:v>
                </c:pt>
                <c:pt idx="11">
                  <c:v>-0.90324103044457327</c:v>
                </c:pt>
                <c:pt idx="12">
                  <c:v>-1.2020427100360076</c:v>
                </c:pt>
                <c:pt idx="13">
                  <c:v>0.45546160740860669</c:v>
                </c:pt>
                <c:pt idx="14">
                  <c:v>-0.92039383934523067</c:v>
                </c:pt>
                <c:pt idx="15">
                  <c:v>6.0923376847968939E-2</c:v>
                </c:pt>
                <c:pt idx="16">
                  <c:v>5.7568064603963229E-2</c:v>
                </c:pt>
                <c:pt idx="17">
                  <c:v>0.87455472520421895</c:v>
                </c:pt>
                <c:pt idx="18">
                  <c:v>-1.3716611304269273</c:v>
                </c:pt>
                <c:pt idx="19">
                  <c:v>-0.99325929971384175</c:v>
                </c:pt>
                <c:pt idx="20">
                  <c:v>1.1865719458829771</c:v>
                </c:pt>
                <c:pt idx="21">
                  <c:v>-0.78512970749381294</c:v>
                </c:pt>
                <c:pt idx="22">
                  <c:v>-0.67141041081499886</c:v>
                </c:pt>
                <c:pt idx="23">
                  <c:v>0.24788114341184628</c:v>
                </c:pt>
                <c:pt idx="24">
                  <c:v>0.36117514169558285</c:v>
                </c:pt>
                <c:pt idx="25">
                  <c:v>-5.0988571620887123E-2</c:v>
                </c:pt>
                <c:pt idx="26">
                  <c:v>1.968459160593524</c:v>
                </c:pt>
                <c:pt idx="27">
                  <c:v>0.53251343598773182</c:v>
                </c:pt>
                <c:pt idx="28">
                  <c:v>-1.0248443371021765</c:v>
                </c:pt>
                <c:pt idx="29">
                  <c:v>0.54347663392107382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38-48FD-9041-7F11FCCFC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5970464"/>
        <c:axId val="1845972544"/>
      </c:lineChart>
      <c:dateAx>
        <c:axId val="1845970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2544"/>
        <c:crossesAt val="0"/>
        <c:auto val="0"/>
        <c:lblOffset val="100"/>
        <c:baseTimeUnit val="days"/>
        <c:majorUnit val="5"/>
        <c:minorUnit val="5"/>
      </c:dateAx>
      <c:valAx>
        <c:axId val="1845972544"/>
        <c:scaling>
          <c:orientation val="minMax"/>
          <c:max val="4"/>
          <c:min val="-2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84597046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 paperSize="9" orientation="landscape" horizontalDpi="1200" verticalDpi="1200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917864</xdr:colOff>
      <xdr:row>47</xdr:row>
      <xdr:rowOff>51955</xdr:rowOff>
    </xdr:from>
    <xdr:to>
      <xdr:col>18</xdr:col>
      <xdr:colOff>100446</xdr:colOff>
      <xdr:row>71</xdr:row>
      <xdr:rowOff>109105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8AE912-CCD3-45E9-A12F-2906131B81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917864</xdr:colOff>
      <xdr:row>73</xdr:row>
      <xdr:rowOff>51955</xdr:rowOff>
    </xdr:from>
    <xdr:to>
      <xdr:col>18</xdr:col>
      <xdr:colOff>100446</xdr:colOff>
      <xdr:row>97</xdr:row>
      <xdr:rowOff>109106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E7C517C-0032-4E0C-AEEA-E9ABDF938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220187</xdr:colOff>
      <xdr:row>47</xdr:row>
      <xdr:rowOff>40822</xdr:rowOff>
    </xdr:from>
    <xdr:ext cx="2203424" cy="328295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48089C1B-DEA0-4299-B72A-85A0EE537643}"/>
            </a:ext>
          </a:extLst>
        </xdr:cNvPr>
        <xdr:cNvSpPr txBox="1"/>
      </xdr:nvSpPr>
      <xdr:spPr>
        <a:xfrm>
          <a:off x="8030687" y="9011640"/>
          <a:ext cx="220342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Northern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0.38684</cdr:x>
      <cdr:y>0.00864</cdr:y>
    </cdr:from>
    <cdr:to>
      <cdr:x>0.6556</cdr:x>
      <cdr:y>0.07956</cdr:y>
    </cdr:to>
    <cdr:sp macro="" textlink="">
      <cdr:nvSpPr>
        <cdr:cNvPr id="2" name="文本框 4">
          <a:extLst xmlns:a="http://schemas.openxmlformats.org/drawingml/2006/main">
            <a:ext uri="{FF2B5EF4-FFF2-40B4-BE49-F238E27FC236}">
              <a16:creationId xmlns:a16="http://schemas.microsoft.com/office/drawing/2014/main" id="{48089C1B-DEA0-4299-B72A-85A0EE537643}"/>
            </a:ext>
          </a:extLst>
        </cdr:cNvPr>
        <cdr:cNvSpPr txBox="1"/>
      </cdr:nvSpPr>
      <cdr:spPr>
        <a:xfrm xmlns:a="http://schemas.openxmlformats.org/drawingml/2006/main">
          <a:off x="3221085" y="40016"/>
          <a:ext cx="2237857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917864</xdr:colOff>
      <xdr:row>47</xdr:row>
      <xdr:rowOff>51955</xdr:rowOff>
    </xdr:from>
    <xdr:to>
      <xdr:col>18</xdr:col>
      <xdr:colOff>100446</xdr:colOff>
      <xdr:row>71</xdr:row>
      <xdr:rowOff>109105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B146AD9-EBFB-4C61-9F56-93A1071DCE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917864</xdr:colOff>
      <xdr:row>73</xdr:row>
      <xdr:rowOff>51955</xdr:rowOff>
    </xdr:from>
    <xdr:to>
      <xdr:col>18</xdr:col>
      <xdr:colOff>100446</xdr:colOff>
      <xdr:row>97</xdr:row>
      <xdr:rowOff>109106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D465A03-0573-4516-BC2D-2D90614B41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220187</xdr:colOff>
      <xdr:row>47</xdr:row>
      <xdr:rowOff>40822</xdr:rowOff>
    </xdr:from>
    <xdr:ext cx="2203424" cy="328295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AC514EA2-D9FE-4004-BA42-7D096A06CAA9}"/>
            </a:ext>
          </a:extLst>
        </xdr:cNvPr>
        <xdr:cNvSpPr txBox="1"/>
      </xdr:nvSpPr>
      <xdr:spPr>
        <a:xfrm>
          <a:off x="7983062" y="9003847"/>
          <a:ext cx="2203424" cy="328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Northern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0.38684</cdr:x>
      <cdr:y>0.00864</cdr:y>
    </cdr:from>
    <cdr:to>
      <cdr:x>0.6556</cdr:x>
      <cdr:y>0.07956</cdr:y>
    </cdr:to>
    <cdr:sp macro="" textlink="">
      <cdr:nvSpPr>
        <cdr:cNvPr id="2" name="文本框 4">
          <a:extLst xmlns:a="http://schemas.openxmlformats.org/drawingml/2006/main">
            <a:ext uri="{FF2B5EF4-FFF2-40B4-BE49-F238E27FC236}">
              <a16:creationId xmlns:a16="http://schemas.microsoft.com/office/drawing/2014/main" id="{48089C1B-DEA0-4299-B72A-85A0EE537643}"/>
            </a:ext>
          </a:extLst>
        </cdr:cNvPr>
        <cdr:cNvSpPr txBox="1"/>
      </cdr:nvSpPr>
      <cdr:spPr>
        <a:xfrm xmlns:a="http://schemas.openxmlformats.org/drawingml/2006/main">
          <a:off x="3221085" y="40016"/>
          <a:ext cx="2237857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600" b="0" i="0" u="none" strike="noStrike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Southern Hemisphere</a:t>
          </a:r>
          <a:r>
            <a:rPr lang="en-US" altLang="zh-CN" sz="16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zh-CN" altLang="en-US" sz="16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B5D9-0910-434E-9018-498101E2E5FB}">
  <dimension ref="A1:W34"/>
  <sheetViews>
    <sheetView topLeftCell="D1" zoomScale="55" zoomScaleNormal="55" workbookViewId="0">
      <selection activeCell="H2" sqref="H2:H31"/>
    </sheetView>
  </sheetViews>
  <sheetFormatPr defaultRowHeight="15" x14ac:dyDescent="0.2"/>
  <cols>
    <col min="1" max="7" width="12.625" style="1" customWidth="1"/>
    <col min="8" max="8" width="13.5" style="4" customWidth="1"/>
    <col min="9" max="17" width="12.625" style="1" customWidth="1"/>
    <col min="18" max="18" width="13.5" style="4" customWidth="1"/>
    <col min="19" max="19" width="12.625" style="1" customWidth="1"/>
    <col min="20" max="16384" width="9" style="1"/>
  </cols>
  <sheetData>
    <row r="1" spans="1:19" x14ac:dyDescent="0.2">
      <c r="A1" s="2" t="s">
        <v>0</v>
      </c>
      <c r="B1" s="2" t="s">
        <v>1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3" t="s">
        <v>11</v>
      </c>
      <c r="I1" s="2"/>
      <c r="J1" s="2"/>
      <c r="K1" s="2" t="s">
        <v>0</v>
      </c>
      <c r="L1" s="2" t="s">
        <v>1</v>
      </c>
      <c r="M1" s="2" t="s">
        <v>4</v>
      </c>
      <c r="N1" s="2" t="s">
        <v>6</v>
      </c>
      <c r="O1" s="2" t="s">
        <v>8</v>
      </c>
      <c r="P1" s="2" t="s">
        <v>9</v>
      </c>
      <c r="Q1" s="2" t="s">
        <v>10</v>
      </c>
      <c r="R1" s="3" t="s">
        <v>12</v>
      </c>
      <c r="S1" s="2" t="s">
        <v>7</v>
      </c>
    </row>
    <row r="2" spans="1:19" x14ac:dyDescent="0.2">
      <c r="A2" s="2">
        <v>1990</v>
      </c>
      <c r="B2" s="2" t="s">
        <v>2</v>
      </c>
      <c r="C2" s="2">
        <v>0.50027901639768024</v>
      </c>
      <c r="D2" s="2">
        <v>0.74759682958732288</v>
      </c>
      <c r="E2" s="2">
        <v>-0.36639702893813003</v>
      </c>
      <c r="F2">
        <v>-1.0150853908150956</v>
      </c>
      <c r="G2">
        <v>1.102098956471236</v>
      </c>
      <c r="H2" s="4">
        <v>0.17814188073709389</v>
      </c>
      <c r="I2" s="2"/>
      <c r="J2" s="2"/>
      <c r="K2" s="2">
        <v>1990</v>
      </c>
      <c r="L2" s="2" t="s">
        <v>3</v>
      </c>
      <c r="M2" s="2">
        <v>0.77022172840211323</v>
      </c>
      <c r="N2" s="2">
        <v>1.9104716590408284</v>
      </c>
      <c r="O2">
        <v>-2.2924316557528748</v>
      </c>
      <c r="P2">
        <v>1.1279463128280907</v>
      </c>
      <c r="Q2">
        <v>-0.20020614516146987</v>
      </c>
      <c r="R2" s="4">
        <v>0.28554487087500008</v>
      </c>
      <c r="S2" s="2">
        <f>CORREL(N2:N31,M2:M31)</f>
        <v>0.37541127576164413</v>
      </c>
    </row>
    <row r="3" spans="1:19" x14ac:dyDescent="0.2">
      <c r="A3" s="2">
        <v>1991</v>
      </c>
      <c r="B3" s="2" t="s">
        <v>2</v>
      </c>
      <c r="C3" s="2">
        <v>1.0347121764426221</v>
      </c>
      <c r="D3" s="2">
        <v>0.63681573580582818</v>
      </c>
      <c r="E3" s="2">
        <v>-0.74349635498254429</v>
      </c>
      <c r="F3">
        <v>-1.1563330743154325</v>
      </c>
      <c r="G3">
        <v>1.1724848903809271</v>
      </c>
      <c r="H3" s="4">
        <v>0.13744814521617341</v>
      </c>
      <c r="I3" s="2"/>
      <c r="J3" s="2"/>
      <c r="K3" s="2">
        <v>1991</v>
      </c>
      <c r="L3" s="2" t="s">
        <v>3</v>
      </c>
      <c r="M3" s="2">
        <v>0.67841249741342902</v>
      </c>
      <c r="N3" s="2">
        <v>-0.19525407090899977</v>
      </c>
      <c r="O3">
        <v>-0.42174315298668075</v>
      </c>
      <c r="P3">
        <v>-1.991245863972924</v>
      </c>
      <c r="Q3">
        <v>1.836800280500178</v>
      </c>
      <c r="R3" s="4">
        <v>0.47055557424999994</v>
      </c>
    </row>
    <row r="4" spans="1:19" x14ac:dyDescent="0.2">
      <c r="A4" s="2">
        <v>1992</v>
      </c>
      <c r="B4" s="2" t="s">
        <v>2</v>
      </c>
      <c r="C4" s="2">
        <v>0.17896495834521403</v>
      </c>
      <c r="D4" s="2">
        <v>-0.28840282116366045</v>
      </c>
      <c r="E4" s="2">
        <v>-0.484977874641906</v>
      </c>
      <c r="F4">
        <v>-0.89511852178588003</v>
      </c>
      <c r="G4">
        <v>0.78205581991411055</v>
      </c>
      <c r="H4" s="4">
        <v>-2.4406182808696167E-4</v>
      </c>
      <c r="I4" s="2"/>
      <c r="J4" s="2"/>
      <c r="K4" s="2">
        <v>1992</v>
      </c>
      <c r="L4" s="2" t="s">
        <v>3</v>
      </c>
      <c r="M4" s="2">
        <v>0.67063151361306861</v>
      </c>
      <c r="N4" s="2">
        <v>0.45586838592609352</v>
      </c>
      <c r="O4">
        <v>0.33357116858504737</v>
      </c>
      <c r="P4">
        <v>0.88083823299313724</v>
      </c>
      <c r="Q4">
        <v>-0.96354708638167774</v>
      </c>
      <c r="R4" s="4">
        <v>-0.13319678037499999</v>
      </c>
    </row>
    <row r="5" spans="1:19" x14ac:dyDescent="0.2">
      <c r="A5" s="2">
        <v>1993</v>
      </c>
      <c r="B5" s="2" t="s">
        <v>2</v>
      </c>
      <c r="C5" s="2">
        <v>-0.29521643619296939</v>
      </c>
      <c r="D5" s="2">
        <v>0.41576842833168975</v>
      </c>
      <c r="E5" s="2">
        <v>-3.6200610468012269E-3</v>
      </c>
      <c r="F5">
        <v>-0.60381383647568321</v>
      </c>
      <c r="G5">
        <v>0.66030743335909969</v>
      </c>
      <c r="H5" s="4">
        <v>-6.8582156966259467E-2</v>
      </c>
      <c r="I5" s="2"/>
      <c r="J5" s="2"/>
      <c r="K5" s="2">
        <v>1993</v>
      </c>
      <c r="L5" s="2" t="s">
        <v>3</v>
      </c>
      <c r="M5" s="2">
        <v>-1.1042140801770295</v>
      </c>
      <c r="N5" s="2">
        <v>-4.8416315249571802E-2</v>
      </c>
      <c r="O5">
        <v>-0.24483267812278836</v>
      </c>
      <c r="P5">
        <v>0.6879859359806062</v>
      </c>
      <c r="Q5">
        <v>-0.63796832733847919</v>
      </c>
      <c r="R5" s="4">
        <v>2.6888214625000004E-2</v>
      </c>
    </row>
    <row r="6" spans="1:19" x14ac:dyDescent="0.2">
      <c r="A6" s="2">
        <v>1994</v>
      </c>
      <c r="B6" s="2" t="s">
        <v>2</v>
      </c>
      <c r="C6" s="2">
        <v>-0.67200515548701523</v>
      </c>
      <c r="D6" s="2">
        <v>-0.39294619591134422</v>
      </c>
      <c r="E6" s="2">
        <v>-1.2818395291412412</v>
      </c>
      <c r="F6">
        <v>-1.3130531857775083</v>
      </c>
      <c r="G6">
        <v>1.0588495862655225</v>
      </c>
      <c r="H6" s="4">
        <v>7.5260881392957724E-2</v>
      </c>
      <c r="I6" s="2"/>
      <c r="J6" s="2"/>
      <c r="K6" s="2">
        <v>1994</v>
      </c>
      <c r="L6" s="2" t="s">
        <v>3</v>
      </c>
      <c r="M6" s="2">
        <v>-0.7140965993503311</v>
      </c>
      <c r="N6" s="2">
        <v>-0.30858033982484956</v>
      </c>
      <c r="O6">
        <v>0.18064180247209846</v>
      </c>
      <c r="P6">
        <v>0.21707141759193052</v>
      </c>
      <c r="Q6">
        <v>-0.13779912389830104</v>
      </c>
      <c r="R6" s="4">
        <v>0.23745992587500003</v>
      </c>
    </row>
    <row r="7" spans="1:19" x14ac:dyDescent="0.2">
      <c r="A7" s="2">
        <v>1995</v>
      </c>
      <c r="B7" s="2" t="s">
        <v>2</v>
      </c>
      <c r="C7" s="2">
        <v>-0.36704514807209687</v>
      </c>
      <c r="D7" s="2">
        <v>0.53099060353643346</v>
      </c>
      <c r="E7" s="2">
        <v>1.972480369498703</v>
      </c>
      <c r="F7">
        <v>1.6598974828839639</v>
      </c>
      <c r="G7">
        <v>-1.3021597588362899</v>
      </c>
      <c r="H7" s="4">
        <v>0.42138838217263014</v>
      </c>
      <c r="I7" s="2"/>
      <c r="J7" s="2"/>
      <c r="K7" s="2">
        <v>1995</v>
      </c>
      <c r="L7" s="2" t="s">
        <v>3</v>
      </c>
      <c r="M7" s="2">
        <v>-0.640320754997319</v>
      </c>
      <c r="N7" s="2">
        <v>0.97013725172463228</v>
      </c>
      <c r="O7">
        <v>0.37097138653333667</v>
      </c>
      <c r="P7">
        <v>0.50276161582421663</v>
      </c>
      <c r="Q7">
        <v>-0.33638720321976995</v>
      </c>
      <c r="R7" s="4">
        <v>-9.2000640125000019E-2</v>
      </c>
    </row>
    <row r="8" spans="1:19" x14ac:dyDescent="0.2">
      <c r="A8" s="2">
        <v>1996</v>
      </c>
      <c r="B8" s="2" t="s">
        <v>2</v>
      </c>
      <c r="C8" s="2">
        <v>-0.3435899964998233</v>
      </c>
      <c r="D8" s="2">
        <v>-1.1591579011272093</v>
      </c>
      <c r="E8" s="2">
        <v>0.7372551253511439</v>
      </c>
      <c r="F8">
        <v>1.4069049269978013</v>
      </c>
      <c r="G8">
        <v>-1.4963091007105007</v>
      </c>
      <c r="H8" s="4">
        <v>7.6511360352912672E-2</v>
      </c>
      <c r="I8" s="2"/>
      <c r="J8" s="2"/>
      <c r="K8" s="2">
        <v>1996</v>
      </c>
      <c r="L8" s="2" t="s">
        <v>3</v>
      </c>
      <c r="M8" s="2">
        <v>-0.24526043610071899</v>
      </c>
      <c r="N8" s="2">
        <v>-0.15749217866683787</v>
      </c>
      <c r="O8">
        <v>-1.0216407044656546E-2</v>
      </c>
      <c r="P8">
        <v>-0.98496002411473882</v>
      </c>
      <c r="Q8">
        <v>0.77222804524837652</v>
      </c>
      <c r="R8" s="4">
        <v>-0.10410929825000004</v>
      </c>
    </row>
    <row r="9" spans="1:19" x14ac:dyDescent="0.2">
      <c r="A9" s="2">
        <v>1997</v>
      </c>
      <c r="B9" s="2" t="s">
        <v>2</v>
      </c>
      <c r="C9" s="2">
        <v>-0.58296165346309947</v>
      </c>
      <c r="D9" s="2">
        <v>0.62735137923677187</v>
      </c>
      <c r="E9" s="2">
        <v>-0.73645650018560582</v>
      </c>
      <c r="F9">
        <v>-0.57820516792392462</v>
      </c>
      <c r="G9">
        <v>0.65313538794884762</v>
      </c>
      <c r="H9" s="4">
        <v>2.8071177713092309E-3</v>
      </c>
      <c r="I9" s="2"/>
      <c r="J9" s="2"/>
      <c r="K9" s="2">
        <v>1997</v>
      </c>
      <c r="L9" s="2" t="s">
        <v>3</v>
      </c>
      <c r="M9" s="2">
        <v>-1.5060508706210751</v>
      </c>
      <c r="N9" s="2">
        <v>7.6669924282674176E-2</v>
      </c>
      <c r="O9">
        <v>0.24385087794058297</v>
      </c>
      <c r="P9">
        <v>0.24151676847063228</v>
      </c>
      <c r="Q9">
        <v>-0.29093006319933407</v>
      </c>
      <c r="R9" s="4">
        <v>-0.210486550125</v>
      </c>
    </row>
    <row r="10" spans="1:19" x14ac:dyDescent="0.2">
      <c r="A10" s="2">
        <v>1998</v>
      </c>
      <c r="B10" s="2" t="s">
        <v>2</v>
      </c>
      <c r="C10" s="2">
        <v>2.5076956951814022</v>
      </c>
      <c r="D10" s="2">
        <v>2.6915530292746985</v>
      </c>
      <c r="E10" s="2">
        <v>0.50116279907636552</v>
      </c>
      <c r="F10">
        <v>0.35645829194032791</v>
      </c>
      <c r="G10">
        <v>0.29026955072665372</v>
      </c>
      <c r="H10" s="4">
        <v>0.32302178290775463</v>
      </c>
      <c r="I10" s="2"/>
      <c r="J10" s="2"/>
      <c r="K10" s="2">
        <v>1998</v>
      </c>
      <c r="L10" s="2" t="s">
        <v>3</v>
      </c>
      <c r="M10" s="2">
        <v>1.5556705869873109</v>
      </c>
      <c r="N10" s="2">
        <v>1.2820212350699898</v>
      </c>
      <c r="O10">
        <v>4.1359728997685492</v>
      </c>
      <c r="P10">
        <v>0.64292712204835079</v>
      </c>
      <c r="Q10">
        <v>-0.66042231961595932</v>
      </c>
      <c r="R10" s="4">
        <v>-0.13443830237499999</v>
      </c>
    </row>
    <row r="11" spans="1:19" x14ac:dyDescent="0.2">
      <c r="A11" s="2">
        <v>1999</v>
      </c>
      <c r="B11" s="2" t="s">
        <v>2</v>
      </c>
      <c r="C11" s="2">
        <v>-0.74284401693281676</v>
      </c>
      <c r="D11" s="2">
        <v>-1.7103235843949967</v>
      </c>
      <c r="E11" s="2">
        <v>0.50106476044694226</v>
      </c>
      <c r="F11">
        <v>0.91470453327611223</v>
      </c>
      <c r="G11">
        <v>-1.1700045871285309</v>
      </c>
      <c r="H11" s="4">
        <v>-0.28570354873510129</v>
      </c>
      <c r="I11" s="2"/>
      <c r="J11" s="2"/>
      <c r="K11" s="2">
        <v>1999</v>
      </c>
      <c r="L11" s="2" t="s">
        <v>3</v>
      </c>
      <c r="M11" s="2">
        <v>0.34430853316596877</v>
      </c>
      <c r="N11" s="2">
        <v>-1.8203398339032102</v>
      </c>
      <c r="O11">
        <v>7.48715949564141E-2</v>
      </c>
      <c r="P11">
        <v>0.63019106299764427</v>
      </c>
      <c r="Q11">
        <v>-1.0921888676998588</v>
      </c>
      <c r="R11" s="4">
        <v>-0.34588194425000002</v>
      </c>
    </row>
    <row r="12" spans="1:19" x14ac:dyDescent="0.2">
      <c r="A12" s="2">
        <v>2000</v>
      </c>
      <c r="B12" s="2" t="s">
        <v>2</v>
      </c>
      <c r="C12" s="2">
        <v>-1.1850059018016947</v>
      </c>
      <c r="D12" s="2">
        <v>-1.6478019344957984</v>
      </c>
      <c r="E12" s="2">
        <v>-0.52999486262771545</v>
      </c>
      <c r="F12">
        <v>0.19637038391658018</v>
      </c>
      <c r="G12">
        <v>-0.57285829030380919</v>
      </c>
      <c r="H12" s="4">
        <v>-0.33178079425014989</v>
      </c>
      <c r="I12" s="2"/>
      <c r="J12" s="2"/>
      <c r="K12" s="2">
        <v>2000</v>
      </c>
      <c r="L12" s="2" t="s">
        <v>3</v>
      </c>
      <c r="M12" s="2">
        <v>-0.58778316970594835</v>
      </c>
      <c r="N12" s="2">
        <v>-0.28725015887038158</v>
      </c>
      <c r="O12">
        <v>-0.55824070255104874</v>
      </c>
      <c r="P12">
        <v>-1.963830110522178</v>
      </c>
      <c r="Q12">
        <v>2.0193893303113297</v>
      </c>
      <c r="R12" s="4">
        <v>0.20752557962499998</v>
      </c>
    </row>
    <row r="13" spans="1:19" x14ac:dyDescent="0.2">
      <c r="A13" s="2">
        <v>2001</v>
      </c>
      <c r="B13" s="2" t="s">
        <v>2</v>
      </c>
      <c r="C13" s="2">
        <v>-3.1528888150179325E-2</v>
      </c>
      <c r="D13" s="2">
        <v>-0.5208661796933397</v>
      </c>
      <c r="E13" s="2">
        <v>-1.3418796665591481</v>
      </c>
      <c r="F13">
        <v>-0.17668121029885606</v>
      </c>
      <c r="G13">
        <v>-3.8267949855492575E-2</v>
      </c>
      <c r="H13" s="4">
        <v>0.16652813882341053</v>
      </c>
      <c r="I13" s="2"/>
      <c r="J13" s="2"/>
      <c r="K13" s="2">
        <v>2001</v>
      </c>
      <c r="L13" s="2" t="s">
        <v>3</v>
      </c>
      <c r="M13" s="2">
        <v>0.59071698327001843</v>
      </c>
      <c r="N13" s="2">
        <v>-0.212868844100636</v>
      </c>
      <c r="O13">
        <v>0.48359462929689323</v>
      </c>
      <c r="P13">
        <v>1.2102317149486534</v>
      </c>
      <c r="Q13">
        <v>-1.1607521926032194</v>
      </c>
      <c r="R13" s="4">
        <v>6.182419850000001E-2</v>
      </c>
    </row>
    <row r="14" spans="1:19" x14ac:dyDescent="0.2">
      <c r="A14" s="2">
        <v>2002</v>
      </c>
      <c r="B14" s="2" t="s">
        <v>2</v>
      </c>
      <c r="C14" s="2">
        <v>0.30678477517026548</v>
      </c>
      <c r="D14" s="2">
        <v>9.8161102869252087E-2</v>
      </c>
      <c r="E14" s="2">
        <v>-0.47495530761810256</v>
      </c>
      <c r="F14">
        <v>-0.52023750631619015</v>
      </c>
      <c r="G14">
        <v>0.5006285092995405</v>
      </c>
      <c r="H14" s="4">
        <v>0.12519571427377754</v>
      </c>
      <c r="I14" s="2"/>
      <c r="J14" s="2"/>
      <c r="K14" s="2">
        <v>2002</v>
      </c>
      <c r="L14" s="2" t="s">
        <v>3</v>
      </c>
      <c r="M14" s="2">
        <v>0.19739463001735064</v>
      </c>
      <c r="N14" s="2">
        <v>-1.5516429278946617</v>
      </c>
      <c r="O14">
        <v>-0.42927018993914096</v>
      </c>
      <c r="P14">
        <v>0.11956831395052799</v>
      </c>
      <c r="Q14">
        <v>-0.56140298096451213</v>
      </c>
      <c r="R14" s="4">
        <v>0.56633480912499989</v>
      </c>
    </row>
    <row r="15" spans="1:19" x14ac:dyDescent="0.2">
      <c r="A15" s="2">
        <v>2003</v>
      </c>
      <c r="B15" s="2" t="s">
        <v>2</v>
      </c>
      <c r="C15" s="2">
        <v>0.74515940620728982</v>
      </c>
      <c r="D15" s="2">
        <v>-0.41090890391233292</v>
      </c>
      <c r="E15" s="2">
        <v>7.9665193678306462E-3</v>
      </c>
      <c r="F15">
        <v>0.217015601842939</v>
      </c>
      <c r="G15">
        <v>-0.32608942509069422</v>
      </c>
      <c r="H15" s="4">
        <v>-0.25606610370917599</v>
      </c>
      <c r="I15" s="2"/>
      <c r="J15" s="2"/>
      <c r="K15" s="2">
        <v>2003</v>
      </c>
      <c r="L15" s="2" t="s">
        <v>3</v>
      </c>
      <c r="M15" s="2">
        <v>1.1855955173021147</v>
      </c>
      <c r="N15" s="2">
        <v>1.4042988310409708E-2</v>
      </c>
      <c r="O15">
        <v>0.47868108455568231</v>
      </c>
      <c r="P15">
        <v>0.99265588460204701</v>
      </c>
      <c r="Q15">
        <v>-1.0146450735266475</v>
      </c>
      <c r="R15" s="4">
        <v>-0.30022499012499998</v>
      </c>
    </row>
    <row r="16" spans="1:19" x14ac:dyDescent="0.2">
      <c r="A16" s="2">
        <v>2004</v>
      </c>
      <c r="B16" s="2" t="s">
        <v>2</v>
      </c>
      <c r="C16" s="2">
        <v>-0.48281461179579482</v>
      </c>
      <c r="D16" s="2">
        <v>-0.84668187373775927</v>
      </c>
      <c r="E16" s="2">
        <v>-0.45478564672053223</v>
      </c>
      <c r="F16">
        <v>2.5089456679616484E-2</v>
      </c>
      <c r="G16">
        <v>-0.27339181602737767</v>
      </c>
      <c r="H16" s="4">
        <v>-0.28303159366557962</v>
      </c>
      <c r="I16" s="2"/>
      <c r="J16" s="2"/>
      <c r="K16" s="2">
        <v>2004</v>
      </c>
      <c r="L16" s="2" t="s">
        <v>3</v>
      </c>
      <c r="M16" s="2">
        <v>-5.5423564938635768E-2</v>
      </c>
      <c r="N16" s="2">
        <v>-1.6626857344030594</v>
      </c>
      <c r="O16">
        <v>-0.5612152011107272</v>
      </c>
      <c r="P16">
        <v>-0.48997846075040014</v>
      </c>
      <c r="Q16">
        <v>-1.9069386388371561E-2</v>
      </c>
      <c r="R16" s="4">
        <v>-0.39447716362500002</v>
      </c>
    </row>
    <row r="17" spans="1:19" x14ac:dyDescent="0.2">
      <c r="A17" s="2">
        <v>2005</v>
      </c>
      <c r="B17" s="2" t="s">
        <v>2</v>
      </c>
      <c r="C17" s="2">
        <v>0.54925509435960407</v>
      </c>
      <c r="D17" s="2">
        <v>1.1213209960001578</v>
      </c>
      <c r="E17" s="2">
        <v>0.96777979881519882</v>
      </c>
      <c r="F17">
        <v>0.78000396173046549</v>
      </c>
      <c r="G17">
        <v>-0.44037554828667508</v>
      </c>
      <c r="H17" s="4">
        <v>-0.15838681571996843</v>
      </c>
      <c r="I17" s="2"/>
      <c r="J17" s="2"/>
      <c r="K17" s="2">
        <v>2005</v>
      </c>
      <c r="L17" s="2" t="s">
        <v>3</v>
      </c>
      <c r="M17" s="2">
        <v>-0.57478828897378764</v>
      </c>
      <c r="N17" s="2">
        <v>8.4972044074391476E-2</v>
      </c>
      <c r="O17">
        <v>-1.3693367958793146</v>
      </c>
      <c r="P17">
        <v>-1.4122385979938383</v>
      </c>
      <c r="Q17">
        <v>1.2998377184464147</v>
      </c>
      <c r="R17" s="4">
        <v>-0.38944874624999998</v>
      </c>
    </row>
    <row r="18" spans="1:19" x14ac:dyDescent="0.2">
      <c r="A18" s="2">
        <v>2006</v>
      </c>
      <c r="B18" s="2" t="s">
        <v>2</v>
      </c>
      <c r="C18" s="2">
        <v>-0.63068965913952257</v>
      </c>
      <c r="D18" s="2">
        <v>-0.14422019680468717</v>
      </c>
      <c r="E18" s="2">
        <v>5.5539372792751771E-2</v>
      </c>
      <c r="F18">
        <v>0.61112393073665328</v>
      </c>
      <c r="G18">
        <v>-0.61094521471523477</v>
      </c>
      <c r="H18" s="4">
        <v>-0.41438718534635521</v>
      </c>
      <c r="I18" s="2"/>
      <c r="J18" s="2"/>
      <c r="K18" s="2">
        <v>2006</v>
      </c>
      <c r="L18" s="2" t="s">
        <v>3</v>
      </c>
      <c r="M18" s="2">
        <v>-1.1238100414283485</v>
      </c>
      <c r="N18" s="2">
        <v>-0.60318005625979443</v>
      </c>
      <c r="O18">
        <v>-0.50088285048525094</v>
      </c>
      <c r="P18">
        <v>-1.7906094814784235</v>
      </c>
      <c r="Q18">
        <v>1.6719398681069224</v>
      </c>
      <c r="R18" s="4">
        <v>-0.49225330024999997</v>
      </c>
    </row>
    <row r="19" spans="1:19" x14ac:dyDescent="0.2">
      <c r="A19" s="2">
        <v>2007</v>
      </c>
      <c r="B19" s="2" t="s">
        <v>2</v>
      </c>
      <c r="C19" s="2">
        <v>-0.16963454208674003</v>
      </c>
      <c r="D19" s="2">
        <v>-0.27204592763712826</v>
      </c>
      <c r="E19" s="2">
        <v>1.1593578733219563</v>
      </c>
      <c r="F19">
        <v>0.73320630022409239</v>
      </c>
      <c r="G19">
        <v>-0.74814993482903958</v>
      </c>
      <c r="H19" s="4">
        <v>-0.12619704813326627</v>
      </c>
      <c r="I19" s="2"/>
      <c r="J19" s="2"/>
      <c r="K19" s="2">
        <v>2007</v>
      </c>
      <c r="L19" s="2" t="s">
        <v>3</v>
      </c>
      <c r="M19" s="2">
        <v>-0.12078063993387803</v>
      </c>
      <c r="N19" s="2">
        <v>0.88580256883516462</v>
      </c>
      <c r="O19">
        <v>-9.0458082551993627E-2</v>
      </c>
      <c r="P19">
        <v>0.43613034655655614</v>
      </c>
      <c r="Q19">
        <v>-0.32975061691102808</v>
      </c>
      <c r="R19" s="4">
        <v>-0.19363005287500001</v>
      </c>
    </row>
    <row r="20" spans="1:19" x14ac:dyDescent="0.2">
      <c r="A20" s="2">
        <v>2008</v>
      </c>
      <c r="B20" s="2" t="s">
        <v>2</v>
      </c>
      <c r="C20" s="2">
        <v>-2.1300548437751901</v>
      </c>
      <c r="D20" s="2">
        <v>-1.6629087742324054</v>
      </c>
      <c r="E20" s="2">
        <v>1.1087706931831118</v>
      </c>
      <c r="F20">
        <v>1.3349586781509868</v>
      </c>
      <c r="G20">
        <v>-1.620541446371762</v>
      </c>
      <c r="H20" s="4">
        <v>-0.44877355237780425</v>
      </c>
      <c r="I20" s="2"/>
      <c r="J20" s="2"/>
      <c r="K20" s="2">
        <v>2008</v>
      </c>
      <c r="L20" s="2" t="s">
        <v>3</v>
      </c>
      <c r="M20" s="2">
        <v>-0.78348766799617175</v>
      </c>
      <c r="N20" s="2">
        <v>-1.1553576803143089</v>
      </c>
      <c r="O20">
        <v>7.9224488866962123E-2</v>
      </c>
      <c r="P20">
        <v>-0.19096191260583936</v>
      </c>
      <c r="Q20">
        <v>4.0731470958691118E-2</v>
      </c>
      <c r="R20" s="4">
        <v>-0.45170180849999997</v>
      </c>
    </row>
    <row r="21" spans="1:19" x14ac:dyDescent="0.2">
      <c r="A21" s="2">
        <v>2009</v>
      </c>
      <c r="B21" s="2" t="s">
        <v>2</v>
      </c>
      <c r="C21" s="2">
        <v>3.8707455640555902E-2</v>
      </c>
      <c r="D21" s="2">
        <v>0.65671523609106242</v>
      </c>
      <c r="E21" s="2">
        <v>-0.7220719320539386</v>
      </c>
      <c r="F21">
        <v>-0.18305882308773186</v>
      </c>
      <c r="G21">
        <v>0.31543303868397227</v>
      </c>
      <c r="H21" s="4">
        <v>-0.15404722610056981</v>
      </c>
      <c r="I21" s="2"/>
      <c r="J21" s="2"/>
      <c r="K21" s="2">
        <v>2009</v>
      </c>
      <c r="L21" s="2" t="s">
        <v>3</v>
      </c>
      <c r="M21" s="2">
        <v>6.9996964925380812E-3</v>
      </c>
      <c r="N21" s="2">
        <v>-0.68331081493553247</v>
      </c>
      <c r="O21">
        <v>-0.37913236801267231</v>
      </c>
      <c r="P21">
        <v>-1.8794038422725257</v>
      </c>
      <c r="Q21">
        <v>1.7293115283118079</v>
      </c>
      <c r="R21" s="4">
        <v>7.1336655874999988E-2</v>
      </c>
    </row>
    <row r="22" spans="1:19" x14ac:dyDescent="0.2">
      <c r="A22" s="2">
        <v>2010</v>
      </c>
      <c r="B22" s="2" t="s">
        <v>2</v>
      </c>
      <c r="C22" s="2">
        <v>1.6377893121899068</v>
      </c>
      <c r="D22" s="2">
        <v>1.1079577988982692</v>
      </c>
      <c r="E22" s="2">
        <v>2.7563156751245637</v>
      </c>
      <c r="F22">
        <v>1.7477333274499731</v>
      </c>
      <c r="G22">
        <v>-1.3418550146139936</v>
      </c>
      <c r="H22" s="4">
        <v>0.52069800917471665</v>
      </c>
      <c r="I22" s="2"/>
      <c r="J22" s="2"/>
      <c r="K22" s="2">
        <v>2010</v>
      </c>
      <c r="L22" s="2" t="s">
        <v>3</v>
      </c>
      <c r="M22" s="2">
        <v>0.63190198563955069</v>
      </c>
      <c r="N22" s="2">
        <v>0.71274776872616086</v>
      </c>
      <c r="O22">
        <v>1.0790062622214724</v>
      </c>
      <c r="P22">
        <v>1.4870933758378919</v>
      </c>
      <c r="Q22">
        <v>-1.4147418843880455</v>
      </c>
      <c r="R22" s="4">
        <v>-3.5669564750000007E-2</v>
      </c>
    </row>
    <row r="23" spans="1:19" x14ac:dyDescent="0.2">
      <c r="A23" s="2">
        <v>2011</v>
      </c>
      <c r="B23" s="2" t="s">
        <v>2</v>
      </c>
      <c r="C23" s="2">
        <v>-1.2778796946328252</v>
      </c>
      <c r="D23" s="2">
        <v>-0.22707479160780999</v>
      </c>
      <c r="E23" s="2">
        <v>1.4290717363282996</v>
      </c>
      <c r="F23">
        <v>1.4168499169979321</v>
      </c>
      <c r="G23">
        <v>-1.3975587550816067</v>
      </c>
      <c r="H23" s="4">
        <v>-0.43140766611343662</v>
      </c>
      <c r="I23" s="2"/>
      <c r="J23" s="2"/>
      <c r="K23" s="2">
        <v>2011</v>
      </c>
      <c r="L23" s="2" t="s">
        <v>3</v>
      </c>
      <c r="M23" s="2">
        <v>-0.4237606689798975</v>
      </c>
      <c r="N23" s="2">
        <v>-0.89882579623305825</v>
      </c>
      <c r="O23">
        <v>0.1171139569654361</v>
      </c>
      <c r="P23">
        <v>0.93687942127623858</v>
      </c>
      <c r="Q23">
        <v>-1.2867953261270089</v>
      </c>
      <c r="R23" s="4">
        <v>-3.5076619750000003E-2</v>
      </c>
    </row>
    <row r="24" spans="1:19" x14ac:dyDescent="0.2">
      <c r="A24" s="2">
        <v>2012</v>
      </c>
      <c r="B24" s="2" t="s">
        <v>2</v>
      </c>
      <c r="C24" s="2">
        <v>-0.54999533033582881</v>
      </c>
      <c r="D24" s="2">
        <v>-0.28168060062776284</v>
      </c>
      <c r="E24" s="2">
        <v>-0.32302847019193365</v>
      </c>
      <c r="F24">
        <v>-0.42216709772215055</v>
      </c>
      <c r="G24">
        <v>0.49256568889499236</v>
      </c>
      <c r="H24" s="4">
        <v>-0.10248802925224011</v>
      </c>
      <c r="I24" s="2"/>
      <c r="J24" s="2"/>
      <c r="K24" s="2">
        <v>2012</v>
      </c>
      <c r="L24" s="2" t="s">
        <v>3</v>
      </c>
      <c r="M24" s="2">
        <v>9.7342020699186418E-2</v>
      </c>
      <c r="N24" s="2">
        <v>-0.20506116553761425</v>
      </c>
      <c r="O24">
        <v>-0.12010441296085098</v>
      </c>
      <c r="P24">
        <v>-0.97312995156302207</v>
      </c>
      <c r="Q24">
        <v>1.4672901840474659</v>
      </c>
      <c r="R24" s="4">
        <v>0.20278986712499997</v>
      </c>
    </row>
    <row r="25" spans="1:19" x14ac:dyDescent="0.2">
      <c r="A25" s="2">
        <v>2013</v>
      </c>
      <c r="B25" s="2" t="s">
        <v>2</v>
      </c>
      <c r="C25" s="2">
        <v>-0.22235483690515223</v>
      </c>
      <c r="D25" s="2">
        <v>-1.2079273434815956</v>
      </c>
      <c r="E25" s="2">
        <v>-2.6624784604737026E-2</v>
      </c>
      <c r="F25">
        <v>0.5582335860101143</v>
      </c>
      <c r="G25">
        <v>-0.90459025844697638</v>
      </c>
      <c r="H25" s="4">
        <v>0.52719852571910553</v>
      </c>
      <c r="I25" s="2"/>
      <c r="J25" s="2"/>
      <c r="K25" s="2">
        <v>2013</v>
      </c>
      <c r="L25" s="2" t="s">
        <v>3</v>
      </c>
      <c r="M25" s="2">
        <v>0.41331693047736501</v>
      </c>
      <c r="N25" s="2">
        <v>0.1500433267751832</v>
      </c>
      <c r="O25">
        <v>-5.2071415960227185E-2</v>
      </c>
      <c r="P25">
        <v>6.313706754756615E-2</v>
      </c>
      <c r="Q25">
        <v>0.27406733872819455</v>
      </c>
      <c r="R25" s="4">
        <v>0.52894237262499988</v>
      </c>
    </row>
    <row r="26" spans="1:19" x14ac:dyDescent="0.2">
      <c r="A26" s="2">
        <v>2014</v>
      </c>
      <c r="B26" s="2" t="s">
        <v>2</v>
      </c>
      <c r="C26" s="2">
        <v>4.5249075895575946E-2</v>
      </c>
      <c r="D26" s="2">
        <v>0.14214112858854178</v>
      </c>
      <c r="E26" s="2">
        <v>-0.86323640474050323</v>
      </c>
      <c r="F26">
        <v>-1.0569005689261226</v>
      </c>
      <c r="G26">
        <v>0.99095541723318248</v>
      </c>
      <c r="H26" s="4">
        <v>2.3953376335144983E-2</v>
      </c>
      <c r="I26" s="2"/>
      <c r="J26" s="2"/>
      <c r="K26" s="2">
        <v>2014</v>
      </c>
      <c r="L26" s="2" t="s">
        <v>3</v>
      </c>
      <c r="M26" s="2">
        <v>-7.3919346103428263E-2</v>
      </c>
      <c r="N26" s="2">
        <v>0.96946958155605589</v>
      </c>
      <c r="O26">
        <v>-6.4393172405772942E-2</v>
      </c>
      <c r="P26">
        <v>-4.7688655363104751E-2</v>
      </c>
      <c r="Q26">
        <v>0.71812867056509821</v>
      </c>
      <c r="R26" s="4">
        <v>-0.34684307662499991</v>
      </c>
    </row>
    <row r="27" spans="1:19" x14ac:dyDescent="0.2">
      <c r="A27" s="2">
        <v>2015</v>
      </c>
      <c r="B27" s="2" t="s">
        <v>2</v>
      </c>
      <c r="C27" s="2">
        <v>0.52898467896411772</v>
      </c>
      <c r="D27" s="2">
        <v>0.82512849328645632</v>
      </c>
      <c r="E27" s="2">
        <v>-1.3209550782370678</v>
      </c>
      <c r="F27">
        <v>-2.0438423738969425</v>
      </c>
      <c r="G27">
        <v>2.1452785569235981</v>
      </c>
      <c r="H27" s="4">
        <v>0.12545325662468121</v>
      </c>
      <c r="I27" s="2"/>
      <c r="J27" s="2"/>
      <c r="K27" s="2">
        <v>2015</v>
      </c>
      <c r="L27" s="2" t="s">
        <v>3</v>
      </c>
      <c r="M27" s="2">
        <v>0.39775496287664425</v>
      </c>
      <c r="N27" s="2">
        <v>-0.49044495403717836</v>
      </c>
      <c r="O27">
        <v>-0.66811616664932216</v>
      </c>
      <c r="P27">
        <v>0.59017802520976992</v>
      </c>
      <c r="Q27">
        <v>-0.92452555959223381</v>
      </c>
      <c r="R27" s="4">
        <v>0.81834734575000012</v>
      </c>
    </row>
    <row r="28" spans="1:19" x14ac:dyDescent="0.2">
      <c r="A28" s="2">
        <v>2016</v>
      </c>
      <c r="B28" s="2" t="s">
        <v>2</v>
      </c>
      <c r="C28" s="2">
        <v>2.3922274902852396</v>
      </c>
      <c r="D28" s="2">
        <v>0.83409256500992757</v>
      </c>
      <c r="E28" s="2">
        <v>-0.2855186501255686</v>
      </c>
      <c r="F28">
        <v>-0.37314006021517149</v>
      </c>
      <c r="G28">
        <v>0.47769561447306602</v>
      </c>
      <c r="H28" s="4">
        <v>0.21371967179561122</v>
      </c>
      <c r="I28" s="2"/>
      <c r="J28" s="2"/>
      <c r="K28" s="2">
        <v>2016</v>
      </c>
      <c r="L28" s="2" t="s">
        <v>3</v>
      </c>
      <c r="M28" s="2">
        <v>3.313662697422938</v>
      </c>
      <c r="N28" s="2">
        <v>2.4548373633280178</v>
      </c>
      <c r="O28">
        <v>0.75018190966339582</v>
      </c>
      <c r="P28">
        <v>0.31645698423044727</v>
      </c>
      <c r="Q28">
        <v>-9.3863776588955478E-2</v>
      </c>
      <c r="R28" s="4">
        <v>1.615902708625</v>
      </c>
    </row>
    <row r="29" spans="1:19" x14ac:dyDescent="0.2">
      <c r="A29" s="2">
        <v>2017</v>
      </c>
      <c r="B29" s="2" t="s">
        <v>2</v>
      </c>
      <c r="C29" s="2">
        <v>-0.74891223045885325</v>
      </c>
      <c r="D29" s="2">
        <v>6.5855066680883451E-2</v>
      </c>
      <c r="E29" s="2">
        <v>0.55779673506906857</v>
      </c>
      <c r="F29">
        <v>0.6360528967636041</v>
      </c>
      <c r="G29">
        <v>-0.62210310522834367</v>
      </c>
      <c r="H29" s="4">
        <v>-0.6303165279417895</v>
      </c>
      <c r="I29" s="2"/>
      <c r="J29" s="2"/>
      <c r="K29" s="2">
        <v>2017</v>
      </c>
      <c r="L29" s="2" t="s">
        <v>3</v>
      </c>
      <c r="M29" s="2">
        <v>-1.6023564897894758</v>
      </c>
      <c r="N29" s="2">
        <v>1.2892421166516355</v>
      </c>
      <c r="O29">
        <v>7.828747037976802E-2</v>
      </c>
      <c r="P29">
        <v>0.4628552378686196</v>
      </c>
      <c r="Q29">
        <v>-0.21492501422657995</v>
      </c>
      <c r="R29" s="4">
        <v>-0.24063395612500002</v>
      </c>
    </row>
    <row r="30" spans="1:19" x14ac:dyDescent="0.2">
      <c r="A30" s="2">
        <v>2018</v>
      </c>
      <c r="B30" s="2" t="s">
        <v>2</v>
      </c>
      <c r="C30" s="2">
        <v>-0.68276439932750499</v>
      </c>
      <c r="D30" s="2">
        <v>-1.0368890819298684</v>
      </c>
      <c r="E30" s="2">
        <v>-0.60633048322924521</v>
      </c>
      <c r="F30">
        <v>-0.97093528092953196</v>
      </c>
      <c r="G30">
        <v>0.706908600084872</v>
      </c>
      <c r="H30" s="4">
        <v>-0.6772582223020952</v>
      </c>
      <c r="I30" s="2"/>
      <c r="J30" s="2"/>
      <c r="K30" s="2">
        <v>2018</v>
      </c>
      <c r="L30" s="2" t="s">
        <v>3</v>
      </c>
      <c r="M30" s="2">
        <v>-1.1129357976746069E-2</v>
      </c>
      <c r="N30" s="2">
        <v>-0.7054950340186843</v>
      </c>
      <c r="O30">
        <v>-0.5145700703383761</v>
      </c>
      <c r="P30">
        <v>0.34683393426173842</v>
      </c>
      <c r="Q30">
        <v>-0.34858948408864177</v>
      </c>
      <c r="R30" s="4">
        <v>-0.95098462375000004</v>
      </c>
    </row>
    <row r="31" spans="1:19" ht="15.75" thickBot="1" x14ac:dyDescent="0.25">
      <c r="A31" s="2">
        <v>2019</v>
      </c>
      <c r="B31" s="2" t="s">
        <v>2</v>
      </c>
      <c r="C31" s="2">
        <v>0.6494882099776329</v>
      </c>
      <c r="D31" s="2">
        <v>1.3083877175604037</v>
      </c>
      <c r="E31" s="2">
        <v>-1.1883928227312155</v>
      </c>
      <c r="F31">
        <v>-1.2860311771149409</v>
      </c>
      <c r="G31">
        <v>1.5165331548667069</v>
      </c>
      <c r="H31" s="5">
        <v>1.4513442891445998</v>
      </c>
      <c r="I31" s="2"/>
      <c r="J31" s="2"/>
      <c r="K31" s="2">
        <v>2019</v>
      </c>
      <c r="L31" s="2" t="s">
        <v>3</v>
      </c>
      <c r="M31" s="2">
        <v>-1.2867483067068055</v>
      </c>
      <c r="N31" s="2">
        <v>-0.27012030914285834</v>
      </c>
      <c r="O31">
        <v>-0.12895420945394009</v>
      </c>
      <c r="P31">
        <v>-0.16921187438767066</v>
      </c>
      <c r="Q31">
        <v>-0.1412140033043853</v>
      </c>
      <c r="R31" s="5">
        <v>-0.24239470387499998</v>
      </c>
    </row>
    <row r="32" spans="1:19" x14ac:dyDescent="0.2">
      <c r="S32" s="1" t="s">
        <v>13</v>
      </c>
    </row>
    <row r="33" spans="1:23" x14ac:dyDescent="0.2">
      <c r="A33" s="1" t="s">
        <v>14</v>
      </c>
      <c r="D33" s="1">
        <f>ROUND(CORREL($C2:$C31,D2:D31),2)</f>
        <v>0.75</v>
      </c>
      <c r="E33" s="1">
        <f t="shared" ref="E33:G33" si="0">ROUND(CORREL($C2:$C31,E2:E31),2)</f>
        <v>-0.02</v>
      </c>
      <c r="F33" s="1">
        <f t="shared" si="0"/>
        <v>-0.21</v>
      </c>
      <c r="G33" s="1">
        <f t="shared" si="0"/>
        <v>0.36</v>
      </c>
      <c r="H33" s="1"/>
      <c r="N33" s="1">
        <f>CORREL($M2:$M31,N2:N31)</f>
        <v>0.37541127576164413</v>
      </c>
      <c r="O33" s="1">
        <f t="shared" ref="O33:Q33" si="1">CORREL($M2:$M31,O2:O31)</f>
        <v>0.32637529800285753</v>
      </c>
      <c r="P33" s="1">
        <f t="shared" si="1"/>
        <v>0.24844250868023807</v>
      </c>
      <c r="Q33" s="1">
        <f t="shared" si="1"/>
        <v>-0.1991927848558695</v>
      </c>
      <c r="R33" s="1"/>
      <c r="S33" s="1">
        <f>CORREL(N2:N31,R2:R31)</f>
        <v>0.33675828118631268</v>
      </c>
      <c r="V33" s="1" t="s">
        <v>16</v>
      </c>
      <c r="W33" s="1">
        <v>0.34899999999999998</v>
      </c>
    </row>
    <row r="34" spans="1:23" x14ac:dyDescent="0.2">
      <c r="A34" s="1" t="s">
        <v>15</v>
      </c>
      <c r="C34" s="1">
        <f t="shared" ref="C34:G34" si="2">CORREL(C2:C31,$H2:$H31)</f>
        <v>0.53129882022039354</v>
      </c>
      <c r="D34" s="1">
        <f>CORREL(D2:D31,$H2:$H31)</f>
        <v>0.49707840813887638</v>
      </c>
      <c r="E34" s="1">
        <f t="shared" si="2"/>
        <v>-9.3936009673918769E-2</v>
      </c>
      <c r="F34" s="1">
        <f t="shared" si="2"/>
        <v>-0.19514933866484777</v>
      </c>
      <c r="G34" s="1">
        <f t="shared" si="2"/>
        <v>0.29648762522815691</v>
      </c>
      <c r="H34" s="1"/>
      <c r="K34" s="1" t="s">
        <v>15</v>
      </c>
      <c r="M34" s="1">
        <f t="shared" ref="M34:P34" si="3">CORREL(M2:M31,$R2:$R31)</f>
        <v>0.56582133855290262</v>
      </c>
      <c r="N34" s="1">
        <f t="shared" si="3"/>
        <v>0.33675828118631268</v>
      </c>
      <c r="O34" s="1">
        <f t="shared" si="3"/>
        <v>3.673056753091057E-3</v>
      </c>
      <c r="P34" s="1">
        <f t="shared" si="3"/>
        <v>2.3826938042722356E-2</v>
      </c>
      <c r="Q34" s="1">
        <f>CORREL(Q2:Q31,$R2:$R31)</f>
        <v>2.4853159527965338E-2</v>
      </c>
    </row>
  </sheetData>
  <phoneticPr fontId="1" type="noConversion"/>
  <conditionalFormatting sqref="A33:S34">
    <cfRule type="cellIs" dxfId="2" priority="1" operator="greaterThan">
      <formula>0.3489999</formula>
    </cfRule>
  </conditionalFormatting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964E-02BD-47DD-A88B-3FB08C545E3E}">
  <dimension ref="A1:W34"/>
  <sheetViews>
    <sheetView tabSelected="1" topLeftCell="D1" zoomScale="55" zoomScaleNormal="55" workbookViewId="0">
      <selection activeCell="R2" sqref="R2:R31"/>
    </sheetView>
  </sheetViews>
  <sheetFormatPr defaultRowHeight="15" x14ac:dyDescent="0.2"/>
  <cols>
    <col min="1" max="7" width="12.625" style="1" customWidth="1"/>
    <col min="8" max="8" width="13.5" style="4" customWidth="1"/>
    <col min="9" max="17" width="12.625" style="1" customWidth="1"/>
    <col min="18" max="18" width="13.5" style="4" customWidth="1"/>
    <col min="19" max="19" width="12.625" style="1" customWidth="1"/>
    <col min="20" max="16384" width="9" style="1"/>
  </cols>
  <sheetData>
    <row r="1" spans="1:19" x14ac:dyDescent="0.2">
      <c r="A1" s="2" t="s">
        <v>0</v>
      </c>
      <c r="B1" s="2" t="s">
        <v>1</v>
      </c>
      <c r="C1" s="2" t="s">
        <v>5</v>
      </c>
      <c r="D1" s="2" t="s">
        <v>6</v>
      </c>
      <c r="E1" s="2" t="s">
        <v>8</v>
      </c>
      <c r="F1" s="2" t="s">
        <v>9</v>
      </c>
      <c r="G1" s="2" t="s">
        <v>10</v>
      </c>
      <c r="H1" s="3" t="s">
        <v>11</v>
      </c>
      <c r="I1" s="2"/>
      <c r="J1" s="2"/>
      <c r="K1" s="2" t="s">
        <v>0</v>
      </c>
      <c r="L1" s="2" t="s">
        <v>1</v>
      </c>
      <c r="M1" s="2" t="s">
        <v>4</v>
      </c>
      <c r="N1" s="2" t="s">
        <v>6</v>
      </c>
      <c r="O1" s="2" t="s">
        <v>8</v>
      </c>
      <c r="P1" s="2" t="s">
        <v>9</v>
      </c>
      <c r="Q1" s="2" t="s">
        <v>10</v>
      </c>
      <c r="R1" s="3" t="s">
        <v>12</v>
      </c>
      <c r="S1" s="2" t="s">
        <v>7</v>
      </c>
    </row>
    <row r="2" spans="1:19" x14ac:dyDescent="0.2">
      <c r="A2" s="2">
        <v>1990</v>
      </c>
      <c r="B2" s="2" t="s">
        <v>2</v>
      </c>
      <c r="C2" s="2">
        <v>0.50027901639768024</v>
      </c>
      <c r="D2">
        <v>0.69988616027819617</v>
      </c>
      <c r="E2">
        <v>-0.36957724871088776</v>
      </c>
      <c r="F2">
        <v>-0.9320877779439587</v>
      </c>
      <c r="G2">
        <v>0.99973522541681592</v>
      </c>
      <c r="H2" s="4">
        <v>0.1610272564412662</v>
      </c>
      <c r="I2" s="2"/>
      <c r="J2" s="2"/>
      <c r="K2" s="2">
        <v>1990</v>
      </c>
      <c r="L2" s="2" t="s">
        <v>3</v>
      </c>
      <c r="M2" s="2">
        <v>0.77022172840211323</v>
      </c>
      <c r="N2">
        <v>0.33194056600613037</v>
      </c>
      <c r="O2">
        <v>-1.0164528515450992</v>
      </c>
      <c r="P2">
        <v>-0.34244189790752683</v>
      </c>
      <c r="Q2">
        <v>0.34217063280334825</v>
      </c>
      <c r="R2" s="4">
        <v>0.40423666293359767</v>
      </c>
      <c r="S2" s="2">
        <f>CORREL(N2:N31,M2:M31)</f>
        <v>0.46957409728440525</v>
      </c>
    </row>
    <row r="3" spans="1:19" x14ac:dyDescent="0.2">
      <c r="A3" s="2">
        <v>1991</v>
      </c>
      <c r="B3" s="2" t="s">
        <v>2</v>
      </c>
      <c r="C3" s="2">
        <v>1.0347121764426221</v>
      </c>
      <c r="D3">
        <v>0.58155001144424356</v>
      </c>
      <c r="E3">
        <v>-0.73925177120956231</v>
      </c>
      <c r="F3">
        <v>-1.0880184896044158</v>
      </c>
      <c r="G3">
        <v>1.099376589579929</v>
      </c>
      <c r="H3" s="4">
        <v>0.12238346700726245</v>
      </c>
      <c r="I3" s="2"/>
      <c r="J3" s="2"/>
      <c r="K3" s="2">
        <v>1991</v>
      </c>
      <c r="L3" s="2" t="s">
        <v>3</v>
      </c>
      <c r="M3" s="2">
        <v>0.67841249741342902</v>
      </c>
      <c r="N3">
        <v>0.52027265441032722</v>
      </c>
      <c r="O3">
        <v>-0.97452455188102327</v>
      </c>
      <c r="P3">
        <v>-2.3160223031559188</v>
      </c>
      <c r="Q3">
        <v>2.4105988769673505</v>
      </c>
      <c r="R3" s="4">
        <v>0.71496214099941402</v>
      </c>
    </row>
    <row r="4" spans="1:19" x14ac:dyDescent="0.2">
      <c r="A4" s="2">
        <v>1992</v>
      </c>
      <c r="B4" s="2" t="s">
        <v>2</v>
      </c>
      <c r="C4" s="2">
        <v>0.17896495834521403</v>
      </c>
      <c r="D4">
        <v>-0.14886640644794019</v>
      </c>
      <c r="E4">
        <v>-0.50513715152774807</v>
      </c>
      <c r="F4">
        <v>-0.92207989934435031</v>
      </c>
      <c r="G4">
        <v>0.84657813637568746</v>
      </c>
      <c r="H4" s="4">
        <v>-1.5880382035983576E-2</v>
      </c>
      <c r="I4" s="2"/>
      <c r="J4" s="2"/>
      <c r="K4" s="2">
        <v>1992</v>
      </c>
      <c r="L4" s="2" t="s">
        <v>3</v>
      </c>
      <c r="M4" s="2">
        <v>0.67063151361306861</v>
      </c>
      <c r="N4">
        <v>0.65757647424629195</v>
      </c>
      <c r="O4">
        <v>-2.2248576766895931E-2</v>
      </c>
      <c r="P4">
        <v>-0.75635901524673954</v>
      </c>
      <c r="Q4">
        <v>0.36988702575000737</v>
      </c>
      <c r="R4" s="4">
        <v>-0.23633370484643607</v>
      </c>
    </row>
    <row r="5" spans="1:19" x14ac:dyDescent="0.2">
      <c r="A5" s="2">
        <v>1993</v>
      </c>
      <c r="B5" s="2" t="s">
        <v>2</v>
      </c>
      <c r="C5" s="2">
        <v>-0.29521643619296939</v>
      </c>
      <c r="D5">
        <v>0.3713134990893166</v>
      </c>
      <c r="E5">
        <v>6.0811651702380736E-4</v>
      </c>
      <c r="F5">
        <v>-0.60004744777603702</v>
      </c>
      <c r="G5">
        <v>0.64224827879967494</v>
      </c>
      <c r="H5" s="4">
        <v>-8.2915660763050542E-2</v>
      </c>
      <c r="I5" s="2"/>
      <c r="J5" s="2"/>
      <c r="K5" s="2">
        <v>1993</v>
      </c>
      <c r="L5" s="2" t="s">
        <v>3</v>
      </c>
      <c r="M5" s="2">
        <v>-1.1042140801770295</v>
      </c>
      <c r="N5">
        <v>-0.32162318875230789</v>
      </c>
      <c r="O5">
        <v>-0.82396632769831357</v>
      </c>
      <c r="P5">
        <v>0.32947775365947202</v>
      </c>
      <c r="Q5">
        <v>-0.4470211518959466</v>
      </c>
      <c r="R5" s="4">
        <v>3.4509237141846928E-2</v>
      </c>
    </row>
    <row r="6" spans="1:19" x14ac:dyDescent="0.2">
      <c r="A6" s="2">
        <v>1994</v>
      </c>
      <c r="B6" s="2" t="s">
        <v>2</v>
      </c>
      <c r="C6" s="2">
        <v>-0.67200515548701523</v>
      </c>
      <c r="D6">
        <v>-0.44361118144298245</v>
      </c>
      <c r="E6">
        <v>-1.2939922570053419</v>
      </c>
      <c r="F6">
        <v>-1.2926534368398734</v>
      </c>
      <c r="G6">
        <v>1.0246463506189865</v>
      </c>
      <c r="H6" s="4">
        <v>6.7964882543254848E-2</v>
      </c>
      <c r="I6" s="2"/>
      <c r="J6" s="2"/>
      <c r="K6" s="2">
        <v>1994</v>
      </c>
      <c r="L6" s="2" t="s">
        <v>3</v>
      </c>
      <c r="M6" s="2">
        <v>-0.7140965993503311</v>
      </c>
      <c r="N6">
        <v>0.36424771810755135</v>
      </c>
      <c r="O6">
        <v>0.24257781637686301</v>
      </c>
      <c r="P6">
        <v>0.36836755460685877</v>
      </c>
      <c r="Q6">
        <v>0.11562087355597828</v>
      </c>
      <c r="R6" s="4">
        <v>0.38612934448274511</v>
      </c>
    </row>
    <row r="7" spans="1:19" x14ac:dyDescent="0.2">
      <c r="A7" s="2">
        <v>1995</v>
      </c>
      <c r="B7" s="2" t="s">
        <v>2</v>
      </c>
      <c r="C7" s="2">
        <v>-0.36704514807209687</v>
      </c>
      <c r="D7">
        <v>0.44656780064963419</v>
      </c>
      <c r="E7">
        <v>1.9641339880750415</v>
      </c>
      <c r="F7">
        <v>1.6452251285271113</v>
      </c>
      <c r="G7">
        <v>-1.309845531451399</v>
      </c>
      <c r="H7" s="4">
        <v>0.42575941883079338</v>
      </c>
      <c r="I7" s="2"/>
      <c r="J7" s="2"/>
      <c r="K7" s="2">
        <v>1995</v>
      </c>
      <c r="L7" s="2" t="s">
        <v>3</v>
      </c>
      <c r="M7" s="2">
        <v>-0.640320754997319</v>
      </c>
      <c r="N7">
        <v>0.6972525036121533</v>
      </c>
      <c r="O7">
        <v>0.64333243008933771</v>
      </c>
      <c r="P7">
        <v>1.4534565140033033</v>
      </c>
      <c r="Q7">
        <v>-1.2001738862194966</v>
      </c>
      <c r="R7" s="4">
        <v>-0.12630418882804226</v>
      </c>
    </row>
    <row r="8" spans="1:19" x14ac:dyDescent="0.2">
      <c r="A8" s="2">
        <v>1996</v>
      </c>
      <c r="B8" s="2" t="s">
        <v>2</v>
      </c>
      <c r="C8" s="2">
        <v>-0.3435899964998233</v>
      </c>
      <c r="D8">
        <v>-1.1389221886389118</v>
      </c>
      <c r="E8">
        <v>0.72423359022168976</v>
      </c>
      <c r="F8">
        <v>1.3032954522894151</v>
      </c>
      <c r="G8">
        <v>-1.4011206979809205</v>
      </c>
      <c r="H8" s="4">
        <v>7.5549127163532848E-2</v>
      </c>
      <c r="I8" s="2"/>
      <c r="J8" s="2"/>
      <c r="K8" s="2">
        <v>1996</v>
      </c>
      <c r="L8" s="2" t="s">
        <v>3</v>
      </c>
      <c r="M8" s="2">
        <v>-0.24526043610071899</v>
      </c>
      <c r="N8">
        <v>-0.5581393527191294</v>
      </c>
      <c r="O8">
        <v>0.22027638453425913</v>
      </c>
      <c r="P8">
        <v>0.32037493518223831</v>
      </c>
      <c r="Q8">
        <v>-0.41157884364838321</v>
      </c>
      <c r="R8" s="4">
        <v>-0.13097662641300994</v>
      </c>
    </row>
    <row r="9" spans="1:19" x14ac:dyDescent="0.2">
      <c r="A9" s="2">
        <v>1997</v>
      </c>
      <c r="B9" s="2" t="s">
        <v>2</v>
      </c>
      <c r="C9" s="2">
        <v>-0.58296165346309947</v>
      </c>
      <c r="D9">
        <v>0.74103800787395613</v>
      </c>
      <c r="E9">
        <v>-0.73237914498978618</v>
      </c>
      <c r="F9">
        <v>-0.60995253850725539</v>
      </c>
      <c r="G9">
        <v>0.71122924238837271</v>
      </c>
      <c r="H9" s="4">
        <v>3.0029746658703123E-3</v>
      </c>
      <c r="I9" s="2"/>
      <c r="J9" s="2"/>
      <c r="K9" s="2">
        <v>1997</v>
      </c>
      <c r="L9" s="2" t="s">
        <v>3</v>
      </c>
      <c r="M9" s="2">
        <v>-1.5060508706210751</v>
      </c>
      <c r="N9">
        <v>-0.91829605823075233</v>
      </c>
      <c r="O9">
        <v>0.24254796344964005</v>
      </c>
      <c r="P9">
        <v>1.9166306053571953</v>
      </c>
      <c r="Q9">
        <v>-1.8688484725823136</v>
      </c>
      <c r="R9" s="4">
        <v>-0.28648066527539762</v>
      </c>
    </row>
    <row r="10" spans="1:19" x14ac:dyDescent="0.2">
      <c r="A10" s="2">
        <v>1998</v>
      </c>
      <c r="B10" s="2" t="s">
        <v>2</v>
      </c>
      <c r="C10" s="2">
        <v>2.5076956951814022</v>
      </c>
      <c r="D10">
        <v>2.7111925794901532</v>
      </c>
      <c r="E10">
        <v>0.51212206426359563</v>
      </c>
      <c r="F10">
        <v>0.30897025331717382</v>
      </c>
      <c r="G10">
        <v>0.3116144193514459</v>
      </c>
      <c r="H10" s="4">
        <v>0.33502218574097203</v>
      </c>
      <c r="I10" s="2"/>
      <c r="J10" s="2"/>
      <c r="K10" s="2">
        <v>1998</v>
      </c>
      <c r="L10" s="2" t="s">
        <v>3</v>
      </c>
      <c r="M10" s="2">
        <v>1.5556705869873109</v>
      </c>
      <c r="N10">
        <v>2.9731331095436166</v>
      </c>
      <c r="O10">
        <v>4.3046425700735753</v>
      </c>
      <c r="P10">
        <v>0.47062229536008821</v>
      </c>
      <c r="Q10">
        <v>5.0512615482711951E-2</v>
      </c>
      <c r="R10" s="4">
        <v>-0.16403149805755785</v>
      </c>
    </row>
    <row r="11" spans="1:19" x14ac:dyDescent="0.2">
      <c r="A11" s="2">
        <v>1999</v>
      </c>
      <c r="B11" s="2" t="s">
        <v>2</v>
      </c>
      <c r="C11" s="2">
        <v>-0.74284401693281676</v>
      </c>
      <c r="D11">
        <v>-1.7498573693883472</v>
      </c>
      <c r="E11">
        <v>0.52116623596517342</v>
      </c>
      <c r="F11">
        <v>0.89314086764222334</v>
      </c>
      <c r="G11">
        <v>-1.126950734470108</v>
      </c>
      <c r="H11" s="4">
        <v>-0.28700517114131185</v>
      </c>
      <c r="I11" s="2"/>
      <c r="J11" s="2"/>
      <c r="K11" s="2">
        <v>1999</v>
      </c>
      <c r="L11" s="2" t="s">
        <v>3</v>
      </c>
      <c r="M11" s="2">
        <v>0.34430853316596877</v>
      </c>
      <c r="N11">
        <v>-1.2915308825552279</v>
      </c>
      <c r="O11">
        <v>-0.26831116295198953</v>
      </c>
      <c r="P11">
        <v>0.77996930381175889</v>
      </c>
      <c r="Q11">
        <v>-1.0351338710191393</v>
      </c>
      <c r="R11" s="4">
        <v>-0.47375395681218058</v>
      </c>
    </row>
    <row r="12" spans="1:19" x14ac:dyDescent="0.2">
      <c r="A12" s="2">
        <v>2000</v>
      </c>
      <c r="B12" s="2" t="s">
        <v>2</v>
      </c>
      <c r="C12" s="2">
        <v>-1.1850059018016947</v>
      </c>
      <c r="D12">
        <v>-1.6049694392546139</v>
      </c>
      <c r="E12">
        <v>-0.52678849085365342</v>
      </c>
      <c r="F12">
        <v>0.15783216189093607</v>
      </c>
      <c r="G12">
        <v>-0.51857165833012919</v>
      </c>
      <c r="H12" s="4">
        <v>-0.33117787421411421</v>
      </c>
      <c r="I12" s="2"/>
      <c r="J12" s="2"/>
      <c r="K12" s="2">
        <v>2000</v>
      </c>
      <c r="L12" s="2" t="s">
        <v>3</v>
      </c>
      <c r="M12" s="2">
        <v>-0.58778316970594835</v>
      </c>
      <c r="N12">
        <v>-0.82044774222769135</v>
      </c>
      <c r="O12">
        <v>-0.58120076564589751</v>
      </c>
      <c r="P12">
        <v>-0.75739954500078965</v>
      </c>
      <c r="Q12">
        <v>0.96938700970376857</v>
      </c>
      <c r="R12" s="4">
        <v>0.39805526342995484</v>
      </c>
    </row>
    <row r="13" spans="1:19" x14ac:dyDescent="0.2">
      <c r="A13" s="2">
        <v>2001</v>
      </c>
      <c r="B13" s="2" t="s">
        <v>2</v>
      </c>
      <c r="C13" s="2">
        <v>-3.1528888150179325E-2</v>
      </c>
      <c r="D13">
        <v>-0.51548095219817192</v>
      </c>
      <c r="E13">
        <v>-1.3337234989973619</v>
      </c>
      <c r="F13">
        <v>-0.21735952791603824</v>
      </c>
      <c r="G13">
        <v>1.1734866993459788E-2</v>
      </c>
      <c r="H13" s="4">
        <v>0.17139117588401739</v>
      </c>
      <c r="I13" s="2"/>
      <c r="J13" s="2"/>
      <c r="K13" s="2">
        <v>2001</v>
      </c>
      <c r="L13" s="2" t="s">
        <v>3</v>
      </c>
      <c r="M13" s="2">
        <v>0.59071698327001843</v>
      </c>
      <c r="N13">
        <v>-0.90324103044457327</v>
      </c>
      <c r="O13">
        <v>0.47216685114247686</v>
      </c>
      <c r="P13">
        <v>1.1509727454398864</v>
      </c>
      <c r="Q13">
        <v>-1.1821996947218982</v>
      </c>
      <c r="R13" s="4">
        <v>0.20782913946600559</v>
      </c>
    </row>
    <row r="14" spans="1:19" x14ac:dyDescent="0.2">
      <c r="A14" s="2">
        <v>2002</v>
      </c>
      <c r="B14" s="2" t="s">
        <v>2</v>
      </c>
      <c r="C14" s="2">
        <v>0.30678477517026548</v>
      </c>
      <c r="D14">
        <v>5.2412419724857405E-2</v>
      </c>
      <c r="E14">
        <v>-0.45875664510274372</v>
      </c>
      <c r="F14">
        <v>-0.49795312810067777</v>
      </c>
      <c r="G14">
        <v>0.46893233565437714</v>
      </c>
      <c r="H14" s="4">
        <v>0.14084034428480399</v>
      </c>
      <c r="I14" s="2"/>
      <c r="J14" s="2"/>
      <c r="K14" s="2">
        <v>2002</v>
      </c>
      <c r="L14" s="2" t="s">
        <v>3</v>
      </c>
      <c r="M14" s="2">
        <v>0.19739463001735064</v>
      </c>
      <c r="N14">
        <v>-1.2020427100360076</v>
      </c>
      <c r="O14">
        <v>-0.39597463657642196</v>
      </c>
      <c r="P14">
        <v>-0.39950515084280414</v>
      </c>
      <c r="Q14">
        <v>-0.1626261354999666</v>
      </c>
      <c r="R14" s="4">
        <v>-8.0122683223635277E-2</v>
      </c>
    </row>
    <row r="15" spans="1:19" x14ac:dyDescent="0.2">
      <c r="A15" s="2">
        <v>2003</v>
      </c>
      <c r="B15" s="2" t="s">
        <v>2</v>
      </c>
      <c r="C15" s="2">
        <v>0.74515940620728982</v>
      </c>
      <c r="D15">
        <v>-0.35590091315224848</v>
      </c>
      <c r="E15">
        <v>-4.5963811650677339E-3</v>
      </c>
      <c r="F15">
        <v>6.2521317973482787E-2</v>
      </c>
      <c r="G15">
        <v>-0.18545001422026292</v>
      </c>
      <c r="H15" s="4">
        <v>-0.24907764898600168</v>
      </c>
      <c r="I15" s="2"/>
      <c r="J15" s="2"/>
      <c r="K15" s="2">
        <v>2003</v>
      </c>
      <c r="L15" s="2" t="s">
        <v>3</v>
      </c>
      <c r="M15" s="2">
        <v>1.1855955173021147</v>
      </c>
      <c r="N15">
        <v>0.45546160740860669</v>
      </c>
      <c r="O15">
        <v>0.11323337389663063</v>
      </c>
      <c r="P15">
        <v>0.41763759450212051</v>
      </c>
      <c r="Q15">
        <v>-0.38741371176247197</v>
      </c>
      <c r="R15" s="4">
        <v>-0.34406153249399268</v>
      </c>
    </row>
    <row r="16" spans="1:19" x14ac:dyDescent="0.2">
      <c r="A16" s="2">
        <v>2004</v>
      </c>
      <c r="B16" s="2" t="s">
        <v>2</v>
      </c>
      <c r="C16" s="2">
        <v>-0.48281461179579482</v>
      </c>
      <c r="D16">
        <v>-0.69320703355538471</v>
      </c>
      <c r="E16">
        <v>-0.466692470394866</v>
      </c>
      <c r="F16">
        <v>-7.5185366751923804E-2</v>
      </c>
      <c r="G16">
        <v>-0.13088933341796363</v>
      </c>
      <c r="H16" s="4">
        <v>-0.26851281725823684</v>
      </c>
      <c r="I16" s="2"/>
      <c r="J16" s="2"/>
      <c r="K16" s="2">
        <v>2004</v>
      </c>
      <c r="L16" s="2" t="s">
        <v>3</v>
      </c>
      <c r="M16" s="2">
        <v>-5.5423564938635768E-2</v>
      </c>
      <c r="N16">
        <v>-0.92039383934523067</v>
      </c>
      <c r="O16">
        <v>-0.37300756532050622</v>
      </c>
      <c r="P16">
        <v>-1.0202509770823327</v>
      </c>
      <c r="Q16">
        <v>0.62493555259792488</v>
      </c>
      <c r="R16" s="4">
        <v>-0.53019801069311645</v>
      </c>
    </row>
    <row r="17" spans="1:19" x14ac:dyDescent="0.2">
      <c r="A17" s="2">
        <v>2005</v>
      </c>
      <c r="B17" s="2" t="s">
        <v>2</v>
      </c>
      <c r="C17" s="2">
        <v>0.54925509435960407</v>
      </c>
      <c r="D17">
        <v>1.0759403835002217</v>
      </c>
      <c r="E17">
        <v>0.97321344558798006</v>
      </c>
      <c r="F17">
        <v>0.77421634812340889</v>
      </c>
      <c r="G17">
        <v>-0.45062260848624547</v>
      </c>
      <c r="H17" s="4">
        <v>-0.13734974760445728</v>
      </c>
      <c r="I17" s="2"/>
      <c r="J17" s="2"/>
      <c r="K17" s="2">
        <v>2005</v>
      </c>
      <c r="L17" s="2" t="s">
        <v>3</v>
      </c>
      <c r="M17" s="2">
        <v>-0.57478828897378764</v>
      </c>
      <c r="N17">
        <v>6.0923376847968939E-2</v>
      </c>
      <c r="O17">
        <v>-1.6169100273510255</v>
      </c>
      <c r="P17">
        <v>-0.94856123968224748</v>
      </c>
      <c r="Q17">
        <v>0.8206350601925525</v>
      </c>
      <c r="R17" s="4">
        <v>-0.45581210377334475</v>
      </c>
    </row>
    <row r="18" spans="1:19" x14ac:dyDescent="0.2">
      <c r="A18" s="2">
        <v>2006</v>
      </c>
      <c r="B18" s="2" t="s">
        <v>2</v>
      </c>
      <c r="C18" s="2">
        <v>-0.63068965913952257</v>
      </c>
      <c r="D18">
        <v>-0.22133425066494139</v>
      </c>
      <c r="E18">
        <v>5.8820371745847817E-2</v>
      </c>
      <c r="F18">
        <v>0.73157107836364643</v>
      </c>
      <c r="G18">
        <v>-0.75244520886331112</v>
      </c>
      <c r="H18" s="4">
        <v>-0.41477477287731063</v>
      </c>
      <c r="I18" s="2"/>
      <c r="J18" s="2"/>
      <c r="K18" s="2">
        <v>2006</v>
      </c>
      <c r="L18" s="2" t="s">
        <v>3</v>
      </c>
      <c r="M18" s="2">
        <v>-1.1238100414283485</v>
      </c>
      <c r="N18">
        <v>5.7568064603963229E-2</v>
      </c>
      <c r="O18">
        <v>-0.51542325021613322</v>
      </c>
      <c r="P18">
        <v>-1.5872186623229712</v>
      </c>
      <c r="Q18">
        <v>1.5431435255943857</v>
      </c>
      <c r="R18" s="4">
        <v>-0.61123712542798436</v>
      </c>
    </row>
    <row r="19" spans="1:19" x14ac:dyDescent="0.2">
      <c r="A19" s="2">
        <v>2007</v>
      </c>
      <c r="B19" s="2" t="s">
        <v>2</v>
      </c>
      <c r="C19" s="2">
        <v>-0.16963454208674003</v>
      </c>
      <c r="D19">
        <v>-0.30185231317583522</v>
      </c>
      <c r="E19">
        <v>1.1634013341232088</v>
      </c>
      <c r="F19">
        <v>0.87301850151015492</v>
      </c>
      <c r="G19">
        <v>-0.86692046250908739</v>
      </c>
      <c r="H19" s="4">
        <v>-0.15796705832476751</v>
      </c>
      <c r="I19" s="2"/>
      <c r="J19" s="2"/>
      <c r="K19" s="2">
        <v>2007</v>
      </c>
      <c r="L19" s="2" t="s">
        <v>3</v>
      </c>
      <c r="M19" s="2">
        <v>-0.12078063993387803</v>
      </c>
      <c r="N19">
        <v>0.87455472520421895</v>
      </c>
      <c r="O19">
        <v>-0.3154979776235739</v>
      </c>
      <c r="P19">
        <v>0.17675790494279864</v>
      </c>
      <c r="Q19">
        <v>-0.19785378819307808</v>
      </c>
      <c r="R19" s="4">
        <v>-0.15990102213631424</v>
      </c>
    </row>
    <row r="20" spans="1:19" x14ac:dyDescent="0.2">
      <c r="A20" s="2">
        <v>2008</v>
      </c>
      <c r="B20" s="2" t="s">
        <v>2</v>
      </c>
      <c r="C20" s="2">
        <v>-2.1300548437751901</v>
      </c>
      <c r="D20">
        <v>-1.6818484130874725</v>
      </c>
      <c r="E20">
        <v>1.1121965313015409</v>
      </c>
      <c r="F20">
        <v>1.4356222008366597</v>
      </c>
      <c r="G20">
        <v>-1.6882436207922071</v>
      </c>
      <c r="H20" s="4">
        <v>-0.42613611789882128</v>
      </c>
      <c r="I20" s="2"/>
      <c r="J20" s="2"/>
      <c r="K20" s="2">
        <v>2008</v>
      </c>
      <c r="L20" s="2" t="s">
        <v>3</v>
      </c>
      <c r="M20" s="2">
        <v>-0.78348766799617175</v>
      </c>
      <c r="N20">
        <v>-1.3716611304269273</v>
      </c>
      <c r="O20">
        <v>0.39450895937390995</v>
      </c>
      <c r="P20">
        <v>0.94895689756823765</v>
      </c>
      <c r="Q20">
        <v>-0.96434731555474795</v>
      </c>
      <c r="R20" s="4">
        <v>-0.55070291373690172</v>
      </c>
    </row>
    <row r="21" spans="1:19" x14ac:dyDescent="0.2">
      <c r="A21" s="2">
        <v>2009</v>
      </c>
      <c r="B21" s="2" t="s">
        <v>2</v>
      </c>
      <c r="C21" s="2">
        <v>3.8707455640555902E-2</v>
      </c>
      <c r="D21">
        <v>0.79375528544784291</v>
      </c>
      <c r="E21">
        <v>-0.72110434306847704</v>
      </c>
      <c r="F21">
        <v>-0.18632078272339986</v>
      </c>
      <c r="G21">
        <v>0.34253521456695502</v>
      </c>
      <c r="H21" s="4">
        <v>-0.12053643632092598</v>
      </c>
      <c r="I21" s="2"/>
      <c r="J21" s="2"/>
      <c r="K21" s="2">
        <v>2009</v>
      </c>
      <c r="L21" s="2" t="s">
        <v>3</v>
      </c>
      <c r="M21" s="2">
        <v>6.9996964925380812E-3</v>
      </c>
      <c r="N21">
        <v>-0.99325929971384175</v>
      </c>
      <c r="O21">
        <v>-0.15027378733194</v>
      </c>
      <c r="P21">
        <v>-0.7392029681527833</v>
      </c>
      <c r="Q21">
        <v>0.53802245079185496</v>
      </c>
      <c r="R21" s="4">
        <v>-0.1423670514647099</v>
      </c>
    </row>
    <row r="22" spans="1:19" x14ac:dyDescent="0.2">
      <c r="A22" s="2">
        <v>2010</v>
      </c>
      <c r="B22" s="2" t="s">
        <v>2</v>
      </c>
      <c r="C22" s="2">
        <v>1.6377893121899068</v>
      </c>
      <c r="D22">
        <v>1.0292283258747397</v>
      </c>
      <c r="E22">
        <v>2.7556812573010068</v>
      </c>
      <c r="F22">
        <v>1.7369648138127265</v>
      </c>
      <c r="G22">
        <v>-1.3556346978404423</v>
      </c>
      <c r="H22" s="4">
        <v>0.56816877628139939</v>
      </c>
      <c r="I22" s="2"/>
      <c r="J22" s="2"/>
      <c r="K22" s="2">
        <v>2010</v>
      </c>
      <c r="L22" s="2" t="s">
        <v>3</v>
      </c>
      <c r="M22" s="2">
        <v>0.63190198563955069</v>
      </c>
      <c r="N22">
        <v>1.1865719458829771</v>
      </c>
      <c r="O22">
        <v>0.64326813943252659</v>
      </c>
      <c r="P22">
        <v>0.17592238813626809</v>
      </c>
      <c r="Q22">
        <v>-6.6210809021438138E-2</v>
      </c>
      <c r="R22" s="4">
        <v>0.1312453036379215</v>
      </c>
    </row>
    <row r="23" spans="1:19" x14ac:dyDescent="0.2">
      <c r="A23" s="2">
        <v>2011</v>
      </c>
      <c r="B23" s="2" t="s">
        <v>2</v>
      </c>
      <c r="C23" s="2">
        <v>-1.2778796946328252</v>
      </c>
      <c r="D23">
        <v>-0.34140806246678895</v>
      </c>
      <c r="E23">
        <v>1.4379249482362153</v>
      </c>
      <c r="F23">
        <v>1.514932294568694</v>
      </c>
      <c r="G23">
        <v>-1.5366589581833503</v>
      </c>
      <c r="H23" s="4">
        <v>-0.39956546621125905</v>
      </c>
      <c r="I23" s="2"/>
      <c r="J23" s="2"/>
      <c r="K23" s="2">
        <v>2011</v>
      </c>
      <c r="L23" s="2" t="s">
        <v>3</v>
      </c>
      <c r="M23" s="2">
        <v>-0.4237606689798975</v>
      </c>
      <c r="N23">
        <v>-0.78512970749381294</v>
      </c>
      <c r="O23">
        <v>0.39226915366548326</v>
      </c>
      <c r="P23">
        <v>1.7465185560049208</v>
      </c>
      <c r="Q23">
        <v>-1.9101768514853112</v>
      </c>
      <c r="R23" s="4">
        <v>0.19669386001124831</v>
      </c>
    </row>
    <row r="24" spans="1:19" x14ac:dyDescent="0.2">
      <c r="A24" s="2">
        <v>2012</v>
      </c>
      <c r="B24" s="2" t="s">
        <v>2</v>
      </c>
      <c r="C24" s="2">
        <v>-0.54999533033582881</v>
      </c>
      <c r="D24">
        <v>-0.35874480351018567</v>
      </c>
      <c r="E24">
        <v>-0.30482883142750766</v>
      </c>
      <c r="F24">
        <v>-0.23290416599288888</v>
      </c>
      <c r="G24">
        <v>0.28888069542910716</v>
      </c>
      <c r="H24" s="4">
        <v>-7.9702729955092477E-2</v>
      </c>
      <c r="I24" s="2"/>
      <c r="J24" s="2"/>
      <c r="K24" s="2">
        <v>2012</v>
      </c>
      <c r="L24" s="2" t="s">
        <v>3</v>
      </c>
      <c r="M24" s="2">
        <v>9.7342020699186418E-2</v>
      </c>
      <c r="N24">
        <v>-0.67141041081499886</v>
      </c>
      <c r="O24">
        <v>0.10437855779483056</v>
      </c>
      <c r="P24">
        <v>-1.3499558332530561</v>
      </c>
      <c r="Q24">
        <v>1.4663881925562343</v>
      </c>
      <c r="R24" s="4">
        <v>0.50521671258141465</v>
      </c>
    </row>
    <row r="25" spans="1:19" x14ac:dyDescent="0.2">
      <c r="A25" s="2">
        <v>2013</v>
      </c>
      <c r="B25" s="2" t="s">
        <v>2</v>
      </c>
      <c r="C25" s="2">
        <v>-0.22235483690515223</v>
      </c>
      <c r="D25">
        <v>-1.1810792969697148</v>
      </c>
      <c r="E25">
        <v>-3.428098624973322E-2</v>
      </c>
      <c r="F25">
        <v>0.51419306262885578</v>
      </c>
      <c r="G25">
        <v>-0.84495020563373624</v>
      </c>
      <c r="H25" s="4">
        <v>0.52854239546749304</v>
      </c>
      <c r="I25" s="2"/>
      <c r="J25" s="2"/>
      <c r="K25" s="2">
        <v>2013</v>
      </c>
      <c r="L25" s="2" t="s">
        <v>3</v>
      </c>
      <c r="M25" s="2">
        <v>0.41331693047736501</v>
      </c>
      <c r="N25">
        <v>0.24788114341184628</v>
      </c>
      <c r="O25">
        <v>-0.29817907250192816</v>
      </c>
      <c r="P25">
        <v>-0.40149095818210823</v>
      </c>
      <c r="Q25">
        <v>0.7171967324702514</v>
      </c>
      <c r="R25" s="4">
        <v>0.93003430235632989</v>
      </c>
    </row>
    <row r="26" spans="1:19" x14ac:dyDescent="0.2">
      <c r="A26" s="2">
        <v>2014</v>
      </c>
      <c r="B26" s="2" t="s">
        <v>2</v>
      </c>
      <c r="C26" s="2">
        <v>4.5249075895575946E-2</v>
      </c>
      <c r="D26">
        <v>0.26671343206642623</v>
      </c>
      <c r="E26">
        <v>-0.85233831200901478</v>
      </c>
      <c r="F26">
        <v>-1.0551181795364433</v>
      </c>
      <c r="G26">
        <v>1.0387375777786203</v>
      </c>
      <c r="H26" s="4">
        <v>7.7593741535366572E-4</v>
      </c>
      <c r="I26" s="2"/>
      <c r="J26" s="2"/>
      <c r="K26" s="2">
        <v>2014</v>
      </c>
      <c r="L26" s="2" t="s">
        <v>3</v>
      </c>
      <c r="M26" s="2">
        <v>-7.3919346103428263E-2</v>
      </c>
      <c r="N26">
        <v>0.36117514169558285</v>
      </c>
      <c r="O26">
        <v>-0.65964897533311229</v>
      </c>
      <c r="P26">
        <v>-0.23278022740207602</v>
      </c>
      <c r="Q26">
        <v>0.65696726169415154</v>
      </c>
      <c r="R26" s="4">
        <v>-0.34801683817072426</v>
      </c>
    </row>
    <row r="27" spans="1:19" x14ac:dyDescent="0.2">
      <c r="A27" s="2">
        <v>2015</v>
      </c>
      <c r="B27" s="2" t="s">
        <v>2</v>
      </c>
      <c r="C27" s="2">
        <v>0.52898467896411772</v>
      </c>
      <c r="D27">
        <v>0.86006188962688668</v>
      </c>
      <c r="E27">
        <v>-1.3141785998110846</v>
      </c>
      <c r="F27">
        <v>-2.0384588498589413</v>
      </c>
      <c r="G27">
        <v>2.1409658409990207</v>
      </c>
      <c r="H27" s="4">
        <v>7.6741891422466568E-2</v>
      </c>
      <c r="I27" s="2"/>
      <c r="J27" s="2"/>
      <c r="K27" s="2">
        <v>2015</v>
      </c>
      <c r="L27" s="2" t="s">
        <v>3</v>
      </c>
      <c r="M27" s="2">
        <v>0.39775496287664425</v>
      </c>
      <c r="N27">
        <v>-5.0988571620887123E-2</v>
      </c>
      <c r="O27">
        <v>-0.72496468292396143</v>
      </c>
      <c r="P27">
        <v>-0.12269833181395523</v>
      </c>
      <c r="Q27">
        <v>-7.4754914306482553E-2</v>
      </c>
      <c r="R27" s="4">
        <v>1.4877368376242042</v>
      </c>
    </row>
    <row r="28" spans="1:19" x14ac:dyDescent="0.2">
      <c r="A28" s="2">
        <v>2016</v>
      </c>
      <c r="B28" s="2" t="s">
        <v>2</v>
      </c>
      <c r="C28" s="2">
        <v>2.3922274902852396</v>
      </c>
      <c r="D28">
        <v>0.75586362035307941</v>
      </c>
      <c r="E28">
        <v>-0.28399501703020441</v>
      </c>
      <c r="F28">
        <v>-0.35222767854309778</v>
      </c>
      <c r="G28">
        <v>0.43583959398418565</v>
      </c>
      <c r="H28" s="4">
        <v>0.16599169390118965</v>
      </c>
      <c r="I28" s="2"/>
      <c r="J28" s="2"/>
      <c r="K28" s="2">
        <v>2016</v>
      </c>
      <c r="L28" s="2" t="s">
        <v>3</v>
      </c>
      <c r="M28" s="2">
        <v>3.313662697422938</v>
      </c>
      <c r="N28">
        <v>1.968459160593524</v>
      </c>
      <c r="O28">
        <v>1.2074871803877578</v>
      </c>
      <c r="P28">
        <v>0.4652796472212305</v>
      </c>
      <c r="Q28">
        <v>-0.33450912321963283</v>
      </c>
      <c r="R28" s="4">
        <v>0.61864271497270718</v>
      </c>
    </row>
    <row r="29" spans="1:19" x14ac:dyDescent="0.2">
      <c r="A29" s="2">
        <v>2017</v>
      </c>
      <c r="B29" s="2" t="s">
        <v>2</v>
      </c>
      <c r="C29" s="2">
        <v>-0.74891223045885325</v>
      </c>
      <c r="D29">
        <v>0.1098513062563887</v>
      </c>
      <c r="E29">
        <v>0.53380147460346894</v>
      </c>
      <c r="F29">
        <v>0.50242778133838706</v>
      </c>
      <c r="G29">
        <v>-0.49655067756268001</v>
      </c>
      <c r="H29" s="4">
        <v>-0.63571670233811173</v>
      </c>
      <c r="I29" s="2"/>
      <c r="J29" s="2"/>
      <c r="K29" s="2">
        <v>2017</v>
      </c>
      <c r="L29" s="2" t="s">
        <v>3</v>
      </c>
      <c r="M29" s="2">
        <v>-1.6023564897894758</v>
      </c>
      <c r="N29">
        <v>0.53251343598773182</v>
      </c>
      <c r="O29">
        <v>-5.3020721279085047E-2</v>
      </c>
      <c r="P29">
        <v>0.49911993976661462</v>
      </c>
      <c r="Q29">
        <v>-0.36523959494406028</v>
      </c>
      <c r="R29" s="4">
        <v>-6.3461174422603503E-2</v>
      </c>
    </row>
    <row r="30" spans="1:19" x14ac:dyDescent="0.2">
      <c r="A30" s="2">
        <v>2018</v>
      </c>
      <c r="B30" s="2" t="s">
        <v>2</v>
      </c>
      <c r="C30" s="2">
        <v>-0.68276439932750499</v>
      </c>
      <c r="D30">
        <v>-1.1091636843859121</v>
      </c>
      <c r="E30">
        <v>-0.61969304203046427</v>
      </c>
      <c r="F30">
        <v>-1.0583705970691069</v>
      </c>
      <c r="G30">
        <v>0.77180114149393664</v>
      </c>
      <c r="H30" s="4">
        <v>-0.66665332078526995</v>
      </c>
      <c r="I30" s="2"/>
      <c r="J30" s="2"/>
      <c r="K30" s="2">
        <v>2018</v>
      </c>
      <c r="L30" s="2" t="s">
        <v>3</v>
      </c>
      <c r="M30" s="2">
        <v>-1.1129357976746069E-2</v>
      </c>
      <c r="N30">
        <v>-1.0248443371021765</v>
      </c>
      <c r="O30">
        <v>7.2085454569273339E-3</v>
      </c>
      <c r="P30">
        <v>0.92175888110827431</v>
      </c>
      <c r="Q30">
        <v>-1.0874121979075566</v>
      </c>
      <c r="R30" s="4">
        <v>-1.2128064255081499</v>
      </c>
    </row>
    <row r="31" spans="1:19" ht="15.75" thickBot="1" x14ac:dyDescent="0.25">
      <c r="A31" s="2">
        <v>2019</v>
      </c>
      <c r="B31" s="2" t="s">
        <v>2</v>
      </c>
      <c r="C31" s="2">
        <v>0.6494882099776329</v>
      </c>
      <c r="D31">
        <v>1.3508715866635088</v>
      </c>
      <c r="E31">
        <v>-1.195989166358288</v>
      </c>
      <c r="F31">
        <v>-1.2951933963144673</v>
      </c>
      <c r="G31">
        <v>1.5299989003112684</v>
      </c>
      <c r="H31" s="5">
        <v>1.4298103796650392</v>
      </c>
      <c r="I31" s="2"/>
      <c r="J31" s="2"/>
      <c r="K31" s="2">
        <v>2019</v>
      </c>
      <c r="L31" s="2" t="s">
        <v>3</v>
      </c>
      <c r="M31" s="2">
        <v>-1.2867483067068055</v>
      </c>
      <c r="N31">
        <v>0.54347663392107382</v>
      </c>
      <c r="O31">
        <v>-0.19829299272731141</v>
      </c>
      <c r="P31">
        <v>-1.1679364066259563</v>
      </c>
      <c r="Q31">
        <v>1.0700345518214034</v>
      </c>
      <c r="R31" s="5">
        <v>-9.8723998353288864E-2</v>
      </c>
    </row>
    <row r="32" spans="1:19" x14ac:dyDescent="0.2">
      <c r="S32" s="1" t="s">
        <v>13</v>
      </c>
    </row>
    <row r="33" spans="1:23" x14ac:dyDescent="0.2">
      <c r="A33" s="1" t="s">
        <v>14</v>
      </c>
      <c r="D33" s="1">
        <f>ROUND(CORREL($C2:$C31,D2:D31),2)</f>
        <v>0.75</v>
      </c>
      <c r="E33" s="1">
        <f t="shared" ref="E33:G33" si="0">ROUND(CORREL($C2:$C31,E2:E31),2)</f>
        <v>-0.02</v>
      </c>
      <c r="F33" s="1">
        <f t="shared" si="0"/>
        <v>-0.22</v>
      </c>
      <c r="G33" s="1">
        <f t="shared" si="0"/>
        <v>0.36</v>
      </c>
      <c r="H33" s="1"/>
      <c r="N33" s="1">
        <f>ROUND(CORREL($M2:$M31,N2:N31),2)</f>
        <v>0.47</v>
      </c>
      <c r="O33" s="1">
        <f t="shared" ref="O33:Q33" si="1">ROUND(CORREL($M2:$M31,O2:O31),2)</f>
        <v>0.39</v>
      </c>
      <c r="P33" s="1">
        <f t="shared" si="1"/>
        <v>-0.05</v>
      </c>
      <c r="Q33" s="1">
        <f t="shared" si="1"/>
        <v>7.0000000000000007E-2</v>
      </c>
      <c r="R33" s="1"/>
      <c r="S33" s="1">
        <f>CORREL(N2:N31,R2:R31)</f>
        <v>0.22905013954607414</v>
      </c>
      <c r="V33" s="1" t="s">
        <v>16</v>
      </c>
      <c r="W33" s="1">
        <v>0.34899999999999998</v>
      </c>
    </row>
    <row r="34" spans="1:23" x14ac:dyDescent="0.2">
      <c r="A34" s="1" t="s">
        <v>15</v>
      </c>
      <c r="C34" s="1">
        <f>ROUND(CORREL(C2:C31,$H2:$H31),2)</f>
        <v>0.52</v>
      </c>
      <c r="D34" s="1">
        <f t="shared" ref="D34:G34" si="2">ROUND(CORREL(D2:D31,$H2:$H31),2)</f>
        <v>0.5</v>
      </c>
      <c r="E34" s="1">
        <f t="shared" si="2"/>
        <v>-7.0000000000000007E-2</v>
      </c>
      <c r="F34" s="1">
        <f t="shared" si="2"/>
        <v>-0.17</v>
      </c>
      <c r="G34" s="1">
        <f t="shared" si="2"/>
        <v>0.27</v>
      </c>
      <c r="H34" s="1"/>
      <c r="K34" s="1" t="s">
        <v>15</v>
      </c>
      <c r="M34" s="1">
        <f>ROUND(CORREL(M2:M31,$R2:$R31),2)</f>
        <v>0.3</v>
      </c>
      <c r="N34" s="1">
        <f t="shared" ref="N34:Q34" si="3">ROUND(CORREL(N2:N31,$R2:$R31),2)</f>
        <v>0.23</v>
      </c>
      <c r="O34" s="1">
        <f t="shared" si="3"/>
        <v>-0.06</v>
      </c>
      <c r="P34" s="1">
        <f t="shared" si="3"/>
        <v>-0.19</v>
      </c>
      <c r="Q34" s="1">
        <f t="shared" si="3"/>
        <v>0.25</v>
      </c>
    </row>
  </sheetData>
  <phoneticPr fontId="1" type="noConversion"/>
  <conditionalFormatting sqref="A33:S34">
    <cfRule type="cellIs" dxfId="1" priority="1" operator="greaterThan">
      <formula>0.3489999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N_38C-S_8C</vt:lpstr>
      <vt:lpstr>N_37C-S_5C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 Chen</dc:creator>
  <cp:lastModifiedBy>Yuyang Chen</cp:lastModifiedBy>
  <dcterms:created xsi:type="dcterms:W3CDTF">2023-03-09T03:19:18Z</dcterms:created>
  <dcterms:modified xsi:type="dcterms:W3CDTF">2023-09-13T13:00:10Z</dcterms:modified>
</cp:coreProperties>
</file>